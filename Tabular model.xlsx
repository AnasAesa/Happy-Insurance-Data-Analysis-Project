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as Aesa\Desktop\pbi_project\"/>
    </mc:Choice>
  </mc:AlternateContent>
  <xr:revisionPtr revIDLastSave="0" documentId="13_ncr:1_{B55721E0-02B8-4F22-916C-3827B13D2D6A}" xr6:coauthVersionLast="47" xr6:coauthVersionMax="47" xr10:uidLastSave="{00000000-0000-0000-0000-000000000000}"/>
  <bookViews>
    <workbookView xWindow="-120" yWindow="-120" windowWidth="29040" windowHeight="15720" xr2:uid="{00000000-000D-0000-FFFF-FFFF00000000}"/>
  </bookViews>
  <sheets>
    <sheet name="Tables" sheetId="1" r:id="rId1"/>
    <sheet name="Dashboard" sheetId="2" r:id="rId2"/>
    <sheet name="Sheet3" sheetId="3" state="hidden" r:id="rId3"/>
  </sheets>
  <definedNames>
    <definedName name="Slicer_DivisionName">#N/A</definedName>
    <definedName name="Slicer_Year">#N/A</definedName>
  </definedNames>
  <calcPr calcId="191029"/>
  <pivotCaches>
    <pivotCache cacheId="0" r:id="rId4"/>
    <pivotCache cacheId="1" r:id="rId5"/>
    <pivotCache cacheId="2" r:id="rId6"/>
    <pivotCache cacheId="30"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841E416B-1EF1-43b6-AB56-02D37102CBD5}">
      <x15:pivotCaches>
        <pivotCache cacheId="33" r:id="rId11"/>
        <pivotCache cacheId="36" r:id="rId12"/>
        <pivotCache cacheId="39" r:id="rId13"/>
        <pivotCache cacheId="42" r:id="rId14"/>
        <pivotCache cacheId="45" r:id="rId15"/>
      </x15:pivotCaches>
    </ext>
    <ext xmlns:x15="http://schemas.microsoft.com/office/spreadsheetml/2010/11/main" uri="{983426D0-5260-488c-9760-48F4B6AC55F4}">
      <x15:pivotTableReferences>
        <x15:pivotTableReference r:id="rId16"/>
        <x15:pivotTableReference r:id="rId17"/>
        <x15:pivotTableReference r:id="rId18"/>
        <x15:pivotTableReference r:id="rId19"/>
        <x15:pivotTableReference r:id="rId2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64b4a9e7-0084-4234-bf07-9b3ba343fc62" name="Fact_Sales" connection="Query - Fact_Sales"/>
          <x15:modelTable id="Dim_Orders_5a419f8c-64f1-46b8-aaa0-934e3cc611a1" name="Dim_Orders" connection="Query - Dim_Orders"/>
          <x15:modelTable id="Dim_Customers_9e38cfc1-6c07-43a0-a54b-1d199be4c892" name="Dim_Customers" connection="Query - Dim_Customers"/>
          <x15:modelTable id="Dim_Products_283d87cd-1eb6-461a-84d0-c14dde02ba54" name="Dim_Products" connection="Query - Dim_Products"/>
          <x15:modelTable id="Dim_Date_452e599e-326d-4d7b-9d03-62344f898c97" name="Dim_Date" connection="Query - Dim_Date"/>
        </x15:modelTables>
        <x15:modelRelationships>
          <x15:modelRelationship fromTable="Fact_Sales" fromColumn="DateKey" toTable="Dim_Date" toColumn="DateKey"/>
          <x15:modelRelationship fromTable="Fact_Sales" fromColumn="ProductSK" toTable="Dim_Products" toColumn="ProductSK"/>
          <x15:modelRelationship fromTable="Fact_Sales" fromColumn="CustomerSK" toTable="Dim_Customers" toColumn="CustomerSK"/>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c r="E3" i="3"/>
  <c r="D3" i="3"/>
  <c r="C3" i="3"/>
  <c r="B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371604-C89F-4E67-A3C6-332DF86F9BBE}" name="Query - Dim_Customers" description="Connection to the 'Dim_Customers' query in the workbook." type="100" refreshedVersion="8" minRefreshableVersion="5" background="1" saveData="1">
    <extLst>
      <ext xmlns:x15="http://schemas.microsoft.com/office/spreadsheetml/2010/11/main" uri="{DE250136-89BD-433C-8126-D09CA5730AF9}">
        <x15:connection id="f501e7c5-214b-49a0-93a5-f7ef75095d51"/>
      </ext>
    </extLst>
  </connection>
  <connection id="2" xr16:uid="{E6B1ECE1-3910-4E14-8466-865A2FCB1710}" name="Query - Dim_Date" description="Connection to the 'Dim_Date' query in the workbook." type="100" refreshedVersion="8" minRefreshableVersion="5">
    <extLst>
      <ext xmlns:x15="http://schemas.microsoft.com/office/spreadsheetml/2010/11/main" uri="{DE250136-89BD-433C-8126-D09CA5730AF9}">
        <x15:connection id="b8487041-c467-435b-9c24-8eb0d56364f5"/>
      </ext>
    </extLst>
  </connection>
  <connection id="3" xr16:uid="{AC343F87-C356-4138-9C86-1996045D82F4}" name="Query - Dim_Orders" description="Connection to the 'Dim_Orders' query in the workbook." type="100" refreshedVersion="8" minRefreshableVersion="5">
    <extLst>
      <ext xmlns:x15="http://schemas.microsoft.com/office/spreadsheetml/2010/11/main" uri="{DE250136-89BD-433C-8126-D09CA5730AF9}">
        <x15:connection id="d2555eae-f048-4225-9011-600796b5d351"/>
      </ext>
    </extLst>
  </connection>
  <connection id="4" xr16:uid="{89AA1D0A-7162-49E8-9A2F-C76E688729DD}" name="Query - Dim_Products" description="Connection to the 'Dim_Products' query in the workbook." type="100" refreshedVersion="8" minRefreshableVersion="5">
    <extLst>
      <ext xmlns:x15="http://schemas.microsoft.com/office/spreadsheetml/2010/11/main" uri="{DE250136-89BD-433C-8126-D09CA5730AF9}">
        <x15:connection id="2d183bba-f8a0-417c-9b7a-956fd24a5414"/>
      </ext>
    </extLst>
  </connection>
  <connection id="5" xr16:uid="{73A60984-99F9-480C-8F81-BCE30038608A}" keepAlive="1" name="Query - Divisions" description="Connection to the 'Divisions' query in the workbook." type="5" refreshedVersion="0" background="1">
    <dbPr connection="Provider=Microsoft.Mashup.OleDb.1;Data Source=$Workbook$;Location=Divisions;Extended Properties=&quot;&quot;" command="SELECT * FROM [Divisions]"/>
  </connection>
  <connection id="6" xr16:uid="{B205ED34-D303-4783-862C-D181C5548B30}" name="Query - Fact_Sales" description="Connection to the 'Fact_Sales' query in the workbook." type="100" refreshedVersion="8" minRefreshableVersion="5">
    <extLst>
      <ext xmlns:x15="http://schemas.microsoft.com/office/spreadsheetml/2010/11/main" uri="{DE250136-89BD-433C-8126-D09CA5730AF9}">
        <x15:connection id="525d7913-5cc3-44bf-b5fc-5aeeff0b3d11"/>
      </ext>
    </extLst>
  </connection>
  <connection id="7" xr16:uid="{1286122B-00DC-45B5-B9BA-49DC5A976C06}" keepAlive="1" name="Query - p_End_Year" description="Connection to the 'p_End_Year' query in the workbook." type="5" refreshedVersion="0" background="1">
    <dbPr connection="Provider=Microsoft.Mashup.OleDb.1;Data Source=$Workbook$;Location=p_End_Year;Extended Properties=&quot;&quot;" command="SELECT * FROM [p_End_Year]"/>
  </connection>
  <connection id="8" xr16:uid="{4E8E6B48-C240-4140-958C-CDE63A13A0F0}" keepAlive="1" name="Query - p_Start_Year" description="Connection to the 'p_Start_Year' query in the workbook." type="5" refreshedVersion="0" background="1">
    <dbPr connection="Provider=Microsoft.Mashup.OleDb.1;Data Source=$Workbook$;Location=p_Start_Year;Extended Properties=&quot;&quot;" command="SELECT * FROM [p_Start_Year]"/>
  </connection>
  <connection id="9" xr16:uid="{C1425266-DCA5-4D12-B991-50916C9E1CEF}" keepAlive="1" name="Query - Region" description="Connection to the 'Region' query in the workbook." type="5" refreshedVersion="0" background="1">
    <dbPr connection="Provider=Microsoft.Mashup.OleDb.1;Data Source=$Workbook$;Location=Region;Extended Properties=&quot;&quot;" command="SELECT * FROM [Region]"/>
  </connection>
  <connection id="10" xr16:uid="{A775A040-6B69-4860-BA6E-059D09405702}" keepAlive="1" name="Query - Segments" description="Connection to the 'Segments' query in the workbook." type="5" refreshedVersion="0" background="1">
    <dbPr connection="Provider=Microsoft.Mashup.OleDb.1;Data Source=$Workbook$;Location=Segments;Extended Properties=&quot;&quot;" command="SELECT * FROM [Segments]"/>
  </connection>
  <connection id="11" xr16:uid="{DE84C36B-9777-4D39-9ACE-B17FEE6120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<sst xmlns="http://schemas.openxmlformats.org/spreadsheetml/2006/main" count="99" uniqueCount="64">
  <si>
    <t>Grand Total</t>
  </si>
  <si>
    <t>TotRev</t>
  </si>
  <si>
    <t>OrderQty</t>
  </si>
  <si>
    <t>AvgOrderRev</t>
  </si>
  <si>
    <t>Sum of Quantity</t>
  </si>
  <si>
    <t>NCustomers</t>
  </si>
  <si>
    <t>Canada</t>
  </si>
  <si>
    <t>India</t>
  </si>
  <si>
    <t>Italy</t>
  </si>
  <si>
    <t>Lithuania</t>
  </si>
  <si>
    <t>South Korea</t>
  </si>
  <si>
    <t>Spain</t>
  </si>
  <si>
    <t>Switzerland</t>
  </si>
  <si>
    <t>Taiwan</t>
  </si>
  <si>
    <t>United Kingdom</t>
  </si>
  <si>
    <t>USA</t>
  </si>
  <si>
    <t>Total Revenue</t>
  </si>
  <si>
    <t>Country</t>
  </si>
  <si>
    <t>Araceli</t>
  </si>
  <si>
    <t>Caroll</t>
  </si>
  <si>
    <t>Charole</t>
  </si>
  <si>
    <t>Genovev</t>
  </si>
  <si>
    <t>Monika</t>
  </si>
  <si>
    <t>Pamelia</t>
  </si>
  <si>
    <t>Robby</t>
  </si>
  <si>
    <t>Syreeta</t>
  </si>
  <si>
    <t>Tangela</t>
  </si>
  <si>
    <t>Theo</t>
  </si>
  <si>
    <t>Utd.Arab Emir.</t>
  </si>
  <si>
    <t>Australia</t>
  </si>
  <si>
    <t>Indonesia</t>
  </si>
  <si>
    <t>Customer Name</t>
  </si>
  <si>
    <t>AOV</t>
  </si>
  <si>
    <t>Distributor</t>
  </si>
  <si>
    <t>End-User</t>
  </si>
  <si>
    <t>Top 10 Countries by Revenue</t>
  </si>
  <si>
    <t xml:space="preserve">Customer Type </t>
  </si>
  <si>
    <t xml:space="preserve">Revenue </t>
  </si>
  <si>
    <t xml:space="preserve">Orders </t>
  </si>
  <si>
    <t xml:space="preserve">Products </t>
  </si>
  <si>
    <t xml:space="preserve">AOV </t>
  </si>
  <si>
    <t>Top 10 Customers by Revenue</t>
  </si>
  <si>
    <t xml:space="preserve">Customers </t>
  </si>
  <si>
    <t>Economic</t>
  </si>
  <si>
    <t>Health 1</t>
  </si>
  <si>
    <t>Health 2</t>
  </si>
  <si>
    <t>Health special</t>
  </si>
  <si>
    <t>Jewelry 1</t>
  </si>
  <si>
    <t>Jewelry 2</t>
  </si>
  <si>
    <t>Life 1</t>
  </si>
  <si>
    <t>Life 2</t>
  </si>
  <si>
    <t>Life 3</t>
  </si>
  <si>
    <t>Live 1</t>
  </si>
  <si>
    <t>Live 2</t>
  </si>
  <si>
    <t>Major 1</t>
  </si>
  <si>
    <t>Major 2</t>
  </si>
  <si>
    <t>Other</t>
  </si>
  <si>
    <t>Health 3</t>
  </si>
  <si>
    <t>Life Insurance</t>
  </si>
  <si>
    <t>Health Insurance</t>
  </si>
  <si>
    <t>Property Insurance</t>
  </si>
  <si>
    <t>Product Name</t>
  </si>
  <si>
    <t>Line of Business</t>
  </si>
  <si>
    <t xml:space="preserve">Avgerage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</si>
</sst>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64" formatCode="_(&quot;₪&quot;* #,##0.00_);_(&quot;₪&quot;* \(#,##0.00\);_(&quot;₪&quot;* &quot;-&quot;??_);_(@_)"/>
    <numFmt numFmtId="165" formatCode="_(* #,##0.00_);_(* \(#,##0.00\);_(* &quot;-&quot;??_);_(@_)"/>
    <numFmt numFmtId="166" formatCode="_-* #,##0_-;\-* #,##0_-;_-* &quot;-&quot;??_-;_-@_-"/>
    <numFmt numFmtId="167" formatCode="_-&quot;₪&quot;* #,##0_-;\-&quot;₪&quot;* #,##0_-;_-&quot;₪&quot;* &quot;-&quot;??_-;_-@_-"/>
    <numFmt numFmtId="168" formatCode="&quot;₪&quot;#,##0;\-&quot;₪&quot;#,##0;&quot;₪&quot;#,##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15">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52">
    <xf numFmtId="0" fontId="0" fillId="0" borderId="0" xfId="0"/>
    <xf numFmtId="166" fontId="0" fillId="0" borderId="0" xfId="1" applyNumberFormat="1" applyFont="1"/>
    <xf numFmtId="167" fontId="0" fillId="0" borderId="0" xfId="2" applyNumberFormat="1" applyFont="1"/>
    <xf numFmtId="0" fontId="0" fillId="2" borderId="6" xfId="0" applyFill="1" applyBorder="1"/>
    <xf numFmtId="0" fontId="2" fillId="0" borderId="11" xfId="0" applyFont="1" applyBorder="1"/>
    <xf numFmtId="0" fontId="2" fillId="0" borderId="7" xfId="0" applyFont="1" applyBorder="1"/>
    <xf numFmtId="0" fontId="2" fillId="0" borderId="6" xfId="0" applyFont="1" applyBorder="1"/>
    <xf numFmtId="0" fontId="0" fillId="2" borderId="7" xfId="0" applyFill="1" applyBorder="1"/>
    <xf numFmtId="0" fontId="0" fillId="0" borderId="10" xfId="0" applyBorder="1" applyAlignment="1">
      <alignment horizontal="center"/>
    </xf>
    <xf numFmtId="0" fontId="0" fillId="0" borderId="2" xfId="0" applyBorder="1" applyAlignment="1">
      <alignment horizontal="center"/>
    </xf>
    <xf numFmtId="0" fontId="0" fillId="0" borderId="5" xfId="0" applyBorder="1" applyAlignment="1">
      <alignment horizontal="center"/>
    </xf>
    <xf numFmtId="5" fontId="0" fillId="0" borderId="8" xfId="0" applyNumberFormat="1" applyBorder="1" applyAlignment="1">
      <alignment horizontal="center"/>
    </xf>
    <xf numFmtId="0" fontId="0" fillId="0" borderId="9" xfId="0" applyBorder="1" applyAlignment="1">
      <alignment horizontal="center"/>
    </xf>
    <xf numFmtId="5" fontId="0" fillId="0" borderId="9" xfId="0" applyNumberFormat="1" applyBorder="1" applyAlignment="1">
      <alignment horizontal="center"/>
    </xf>
    <xf numFmtId="5" fontId="0" fillId="0" borderId="1" xfId="0" applyNumberFormat="1" applyBorder="1" applyAlignment="1">
      <alignment horizontal="center"/>
    </xf>
    <xf numFmtId="0" fontId="0" fillId="0" borderId="0" xfId="0" applyAlignment="1">
      <alignment horizontal="center"/>
    </xf>
    <xf numFmtId="5" fontId="0" fillId="0" borderId="0" xfId="0" applyNumberFormat="1" applyAlignment="1">
      <alignment horizontal="center"/>
    </xf>
    <xf numFmtId="5" fontId="0" fillId="0" borderId="3" xfId="0" applyNumberFormat="1" applyBorder="1" applyAlignment="1">
      <alignment horizontal="center"/>
    </xf>
    <xf numFmtId="0" fontId="0" fillId="0" borderId="4" xfId="0" applyBorder="1" applyAlignment="1">
      <alignment horizontal="center"/>
    </xf>
    <xf numFmtId="5" fontId="0" fillId="0" borderId="4" xfId="0" applyNumberFormat="1" applyBorder="1" applyAlignment="1">
      <alignment horizontal="center"/>
    </xf>
    <xf numFmtId="0" fontId="0" fillId="3" borderId="1" xfId="0" applyFill="1" applyBorder="1" applyAlignment="1">
      <alignment horizontal="center"/>
    </xf>
    <xf numFmtId="0" fontId="0" fillId="3" borderId="0" xfId="0" applyFill="1" applyAlignment="1">
      <alignment horizontal="center"/>
    </xf>
    <xf numFmtId="0" fontId="0" fillId="3" borderId="2" xfId="0" applyFill="1" applyBorder="1" applyAlignment="1">
      <alignment horizontal="center"/>
    </xf>
    <xf numFmtId="5" fontId="0" fillId="3" borderId="3" xfId="0" applyNumberFormat="1" applyFill="1" applyBorder="1" applyAlignment="1">
      <alignment horizontal="center"/>
    </xf>
    <xf numFmtId="0" fontId="0" fillId="3" borderId="4" xfId="0" applyFill="1" applyBorder="1" applyAlignment="1">
      <alignment horizontal="center"/>
    </xf>
    <xf numFmtId="5" fontId="0" fillId="3" borderId="4" xfId="0" applyNumberFormat="1" applyFill="1" applyBorder="1" applyAlignment="1">
      <alignment horizontal="center"/>
    </xf>
    <xf numFmtId="0" fontId="0" fillId="3" borderId="5" xfId="0" applyFill="1" applyBorder="1" applyAlignment="1">
      <alignment horizontal="center"/>
    </xf>
    <xf numFmtId="0" fontId="0" fillId="2" borderId="7"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5" borderId="0" xfId="0" applyFill="1"/>
    <xf numFmtId="0" fontId="0" fillId="2" borderId="1" xfId="0" applyFill="1" applyBorder="1"/>
    <xf numFmtId="0" fontId="0" fillId="0" borderId="1" xfId="0" applyBorder="1"/>
    <xf numFmtId="0" fontId="0" fillId="0" borderId="8" xfId="0" applyBorder="1"/>
    <xf numFmtId="0" fontId="0" fillId="3" borderId="2" xfId="0" applyFill="1" applyBorder="1"/>
    <xf numFmtId="5" fontId="0" fillId="0" borderId="2" xfId="0" applyNumberFormat="1" applyBorder="1" applyAlignment="1">
      <alignment horizontal="center"/>
    </xf>
    <xf numFmtId="5" fontId="0" fillId="0" borderId="10" xfId="0" applyNumberFormat="1" applyBorder="1" applyAlignment="1">
      <alignment horizontal="center"/>
    </xf>
    <xf numFmtId="0" fontId="0" fillId="2" borderId="13" xfId="0" applyFill="1" applyBorder="1"/>
    <xf numFmtId="0" fontId="0" fillId="2" borderId="12" xfId="0" applyFill="1" applyBorder="1"/>
    <xf numFmtId="5" fontId="0" fillId="3" borderId="12" xfId="0" applyNumberFormat="1" applyFill="1" applyBorder="1" applyAlignment="1">
      <alignment horizontal="center"/>
    </xf>
    <xf numFmtId="0" fontId="0" fillId="3" borderId="12" xfId="0" applyFill="1" applyBorder="1" applyAlignment="1">
      <alignment horizontal="center"/>
    </xf>
    <xf numFmtId="5" fontId="0" fillId="3" borderId="14" xfId="0" applyNumberFormat="1" applyFill="1" applyBorder="1" applyAlignment="1">
      <alignment horizontal="center"/>
    </xf>
    <xf numFmtId="0" fontId="3" fillId="0" borderId="0" xfId="0" applyFont="1" applyAlignment="1">
      <alignment vertical="center"/>
    </xf>
    <xf numFmtId="0" fontId="0" fillId="2" borderId="0" xfId="0" applyFill="1"/>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168" fontId="0" fillId="0" borderId="0" xfId="0" applyNumberFormat="1"/>
    <xf numFmtId="0" fontId="0" fillId="0" borderId="0" xfId="0" applyNumberFormat="1"/>
  </cellXfs>
  <cellStyles count="3">
    <cellStyle name="Comma" xfId="1" builtinId="3"/>
    <cellStyle name="Currency" xfId="2" builtinId="4"/>
    <cellStyle name="Normal" xfId="0" builtinId="0"/>
  </cellStyles>
  <dxfs count="173">
    <dxf>
      <alignment horizontal="center"/>
    </dxf>
    <dxf>
      <alignment horizontal="center"/>
    </dxf>
    <dxf>
      <alignment horizontal="cent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font>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79998168889431442"/>
        </patternFill>
      </fill>
    </dxf>
    <dxf>
      <fill>
        <patternFill patternType="solid">
          <bgColor theme="8"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9" tint="0.79998168889431442"/>
        </patternFill>
      </fill>
    </dxf>
    <dxf>
      <fill>
        <patternFill>
          <bgColor theme="9" tint="0.79998168889431442"/>
        </patternFill>
      </fill>
    </dxf>
    <dxf>
      <fill>
        <patternFill patternType="solid">
          <bgColor rgb="FFFFFF00"/>
        </patternFill>
      </fill>
    </dxf>
    <dxf>
      <fill>
        <patternFill patternType="solid">
          <bgColor rgb="FFFFFF00"/>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left/>
        <top/>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fill>
        <patternFill patternType="solid">
          <bgColor theme="9" tint="0.79998168889431442"/>
        </patternFill>
      </fill>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4" tint="0.79998168889431442"/>
        </patternFill>
      </fill>
    </dxf>
    <dxf>
      <fill>
        <patternFill>
          <bgColor theme="4" tint="0.79998168889431442"/>
        </patternFill>
      </fill>
    </dxf>
    <dxf>
      <fill>
        <patternFill patternType="solid">
          <bgColor theme="8" tint="0.79998168889431442"/>
        </patternFill>
      </fill>
    </dxf>
    <dxf>
      <fill>
        <patternFill patternType="solid">
          <bgColor theme="8" tint="0.79998168889431442"/>
        </patternFill>
      </fill>
    </dxf>
    <dxf>
      <fill>
        <patternFill>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alignment horizontal="center"/>
    </dxf>
    <dxf>
      <alignment horizontal="center"/>
    </dxf>
    <dxf>
      <alignment horizontal="center"/>
    </dxf>
    <dxf>
      <alignment horizontal="center"/>
    </dxf>
    <dxf>
      <border>
        <top style="medium">
          <color indexed="64"/>
        </top>
        <bottom style="medium">
          <color indexed="64"/>
        </bottom>
      </border>
    </dxf>
    <dxf>
      <fill>
        <patternFill>
          <bgColor theme="9" tint="0.79998168889431442"/>
        </patternFill>
      </fill>
    </dxf>
    <dxf>
      <fill>
        <patternFill patternType="solid">
          <bgColor theme="4" tint="0.79998168889431442"/>
        </patternFill>
      </fill>
    </dxf>
    <dxf>
      <font>
        <b/>
      </font>
    </dxf>
    <dxf>
      <border>
        <right style="medium">
          <color indexed="64"/>
        </right>
      </border>
    </dxf>
    <dxf>
      <border>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4" tint="0.79998168889431442"/>
        </patternFill>
      </fill>
    </dxf>
    <dxf>
      <fill>
        <patternFill>
          <bgColor theme="4" tint="0.79998168889431442"/>
        </patternFill>
      </fill>
    </dxf>
    <dxf>
      <fill>
        <patternFill patternType="solid">
          <bgColor theme="8" tint="0.79998168889431442"/>
        </patternFill>
      </fill>
    </dxf>
    <dxf>
      <fill>
        <patternFill patternType="solid">
          <bgColor theme="8" tint="0.79998168889431442"/>
        </patternFill>
      </fill>
    </dxf>
    <dxf>
      <fill>
        <patternFill>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s>
  <tableStyles count="0" defaultTableStyle="TableStyleMedium2" defaultPivotStyle="PivotStyleLight16"/>
  <colors>
    <mruColors>
      <color rgb="FF9F9FFF"/>
      <color rgb="FFE5FFE5"/>
      <color rgb="FFEBFFEB"/>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Table" Target="pivotTables/pivotTabl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Table" Target="pivotTables/pivotTable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pivotCacheDefinition" Target="pivotCache/pivotCacheDefinition2.xml"/><Relationship Id="rId10" Type="http://schemas.microsoft.com/office/2007/relationships/slicerCache" Target="slicerCaches/slicerCache2.xml"/><Relationship Id="rId19" Type="http://schemas.openxmlformats.org/officeDocument/2006/relationships/pivotTable" Target="pivotTables/pivotTable4.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Table" Target="pivotTables/pivotTabl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pivotTable" Target="pivotTables/pivotTable5.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Total Revenue 2011 to 2013</a:t>
            </a:r>
          </a:p>
        </c:rich>
      </c:tx>
      <c:layout>
        <c:manualLayout>
          <c:xMode val="edge"/>
          <c:yMode val="edge"/>
          <c:x val="0.32519851308179237"/>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L"/>
        </a:p>
      </c:txPr>
    </c:title>
    <c:autoTitleDeleted val="0"/>
    <c:pivotFmts>
      <c:pivotFmt>
        <c:idx val="0"/>
        <c:spPr>
          <a:solidFill>
            <a:srgbClr val="9F9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9F9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5400" cap="rnd">
                <a:solidFill>
                  <a:schemeClr val="accent4">
                    <a:alpha val="90000"/>
                  </a:schemeClr>
                </a:solidFill>
                <a:prstDash val="solid"/>
              </a:ln>
              <a:effectLst/>
            </c:spPr>
            <c:trendlineType val="linear"/>
            <c:dispRSqr val="0"/>
            <c:dispEq val="0"/>
          </c:trendline>
          <c:cat>
            <c:strLit>
              <c:ptCount val="12"/>
              <c:pt idx="0">
                <c:v>1
2011</c:v>
              </c:pt>
              <c:pt idx="1">
                <c:v>2
2011</c:v>
              </c:pt>
              <c:pt idx="2">
                <c:v>3
2011</c:v>
              </c:pt>
              <c:pt idx="3">
                <c:v>4
2011</c:v>
              </c:pt>
              <c:pt idx="4">
                <c:v>1
2012</c:v>
              </c:pt>
              <c:pt idx="5">
                <c:v>2
2012</c:v>
              </c:pt>
              <c:pt idx="6">
                <c:v>3
2012</c:v>
              </c:pt>
              <c:pt idx="7">
                <c:v>4
2012</c:v>
              </c:pt>
              <c:pt idx="8">
                <c:v>1
2013</c:v>
              </c:pt>
              <c:pt idx="9">
                <c:v>2
2013</c:v>
              </c:pt>
              <c:pt idx="10">
                <c:v>3
2013</c:v>
              </c:pt>
              <c:pt idx="11">
                <c:v>4
2013</c:v>
              </c:pt>
            </c:strLit>
          </c:cat>
          <c:val>
            <c:numLit>
              <c:formatCode>"₪"#,##0_);\("₪"#,##0\)</c:formatCode>
              <c:ptCount val="12"/>
              <c:pt idx="0">
                <c:v>73028.522400000002</c:v>
              </c:pt>
              <c:pt idx="1">
                <c:v>81984.335800000001</c:v>
              </c:pt>
              <c:pt idx="2">
                <c:v>70421.161900000006</c:v>
              </c:pt>
              <c:pt idx="3">
                <c:v>70319.086800000005</c:v>
              </c:pt>
              <c:pt idx="4">
                <c:v>60113.727400000003</c:v>
              </c:pt>
              <c:pt idx="5">
                <c:v>100077.37609999999</c:v>
              </c:pt>
              <c:pt idx="6">
                <c:v>80009.0769</c:v>
              </c:pt>
              <c:pt idx="7">
                <c:v>69598.13</c:v>
              </c:pt>
              <c:pt idx="8">
                <c:v>56486.770400000001</c:v>
              </c:pt>
              <c:pt idx="9">
                <c:v>88367.294500000004</c:v>
              </c:pt>
              <c:pt idx="10">
                <c:v>82798.126799999998</c:v>
              </c:pt>
              <c:pt idx="11">
                <c:v>93996.8802</c:v>
              </c:pt>
            </c:numLit>
          </c:val>
          <c:extLst>
            <c:ext xmlns:c16="http://schemas.microsoft.com/office/drawing/2014/chart" uri="{C3380CC4-5D6E-409C-BE32-E72D297353CC}">
              <c16:uniqueId val="{00000000-944F-434B-B0FB-3DFFEDD52057}"/>
            </c:ext>
          </c:extLst>
        </c:ser>
        <c:dLbls>
          <c:dLblPos val="outEnd"/>
          <c:showLegendKey val="0"/>
          <c:showVal val="1"/>
          <c:showCatName val="0"/>
          <c:showSerName val="0"/>
          <c:showPercent val="0"/>
          <c:showBubbleSize val="0"/>
        </c:dLbls>
        <c:gapWidth val="219"/>
        <c:axId val="1574759840"/>
        <c:axId val="1574751680"/>
      </c:barChart>
      <c:catAx>
        <c:axId val="1574759840"/>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IL"/>
          </a:p>
        </c:txPr>
        <c:crossAx val="1574751680"/>
        <c:crosses val="autoZero"/>
        <c:auto val="1"/>
        <c:lblAlgn val="ctr"/>
        <c:lblOffset val="100"/>
        <c:noMultiLvlLbl val="0"/>
        <c:extLst>
          <c:ext xmlns:c15="http://schemas.microsoft.com/office/drawing/2012/chart" uri="{F40574EE-89B7-4290-83BB-5DA773EAF853}">
            <c15:numFmt c:formatCode="General" c:sourceLinked="1"/>
          </c:ext>
        </c:extLst>
      </c:catAx>
      <c:valAx>
        <c:axId val="1574751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IL"/>
          </a:p>
        </c:txPr>
        <c:crossAx val="1574759840"/>
        <c:crosses val="autoZero"/>
        <c:crossBetween val="between"/>
        <c:extLst>
          <c:ext xmlns:c15="http://schemas.microsoft.com/office/drawing/2012/chart" uri="{F40574EE-89B7-4290-83BB-5DA773EAF853}">
            <c15:numFmt c:formatCode="&quot;₪&quot;#,##0_);\(&quot;₪&quot;#,##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extLst>
    <c:ext xmlns:c15="http://schemas.microsoft.com/office/drawing/2012/chart" uri="{723BEF56-08C2-4564-9609-F4CBC75E7E54}">
      <c15:pivotSource>
        <c15:name>[Tabular model (Recovered).xlsx]PivotChartTable1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Top 5 Products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L"/>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Health 1</c:v>
              </c:pt>
              <c:pt idx="1">
                <c:v>Life 1</c:v>
              </c:pt>
              <c:pt idx="2">
                <c:v>Life 2</c:v>
              </c:pt>
              <c:pt idx="3">
                <c:v>Economic</c:v>
              </c:pt>
              <c:pt idx="4">
                <c:v>Life 3</c:v>
              </c:pt>
            </c:strLit>
          </c:cat>
          <c:val>
            <c:numLit>
              <c:formatCode>"₪"#,##0_);\("₪"#,##0\)</c:formatCode>
              <c:ptCount val="5"/>
              <c:pt idx="0">
                <c:v>83645.724900000001</c:v>
              </c:pt>
              <c:pt idx="1">
                <c:v>111299.7314</c:v>
              </c:pt>
              <c:pt idx="2">
                <c:v>127415.0101</c:v>
              </c:pt>
              <c:pt idx="3">
                <c:v>128759.06540000001</c:v>
              </c:pt>
              <c:pt idx="4">
                <c:v>130344.0575</c:v>
              </c:pt>
            </c:numLit>
          </c:val>
          <c:extLst>
            <c:ext xmlns:c16="http://schemas.microsoft.com/office/drawing/2014/chart" uri="{C3380CC4-5D6E-409C-BE32-E72D297353CC}">
              <c16:uniqueId val="{00000000-B40B-4957-819B-86B9CF46B2A5}"/>
            </c:ext>
          </c:extLst>
        </c:ser>
        <c:dLbls>
          <c:dLblPos val="outEnd"/>
          <c:showLegendKey val="0"/>
          <c:showVal val="1"/>
          <c:showCatName val="0"/>
          <c:showSerName val="0"/>
          <c:showPercent val="0"/>
          <c:showBubbleSize val="0"/>
        </c:dLbls>
        <c:gapWidth val="115"/>
        <c:overlap val="-20"/>
        <c:axId val="487399056"/>
        <c:axId val="487395696"/>
      </c:barChart>
      <c:catAx>
        <c:axId val="487399056"/>
        <c:scaling>
          <c:orientation val="minMax"/>
        </c:scaling>
        <c:delete val="0"/>
        <c:axPos val="l"/>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L"/>
          </a:p>
        </c:txPr>
        <c:crossAx val="487395696"/>
        <c:crosses val="autoZero"/>
        <c:auto val="1"/>
        <c:lblAlgn val="ctr"/>
        <c:lblOffset val="100"/>
        <c:noMultiLvlLbl val="0"/>
        <c:extLst>
          <c:ext xmlns:c15="http://schemas.microsoft.com/office/drawing/2012/chart" uri="{F40574EE-89B7-4290-83BB-5DA773EAF853}">
            <c15:numFmt c:formatCode="General" c:sourceLinked="1"/>
          </c:ext>
        </c:extLst>
      </c:catAx>
      <c:valAx>
        <c:axId val="487395696"/>
        <c:scaling>
          <c:orientation val="minMax"/>
        </c:scaling>
        <c:delete val="1"/>
        <c:axPos val="b"/>
        <c:numFmt formatCode="&quot;₪&quot;#,##0_);\(&quot;₪&quot;#,##0\)" sourceLinked="0"/>
        <c:majorTickMark val="none"/>
        <c:minorTickMark val="none"/>
        <c:tickLblPos val="nextTo"/>
        <c:crossAx val="487399056"/>
        <c:crosses val="autoZero"/>
        <c:crossBetween val="between"/>
        <c:extLst>
          <c:ext xmlns:c15="http://schemas.microsoft.com/office/drawing/2012/chart" uri="{F40574EE-89B7-4290-83BB-5DA773EAF853}">
            <c15:numFmt c:formatCode="&quot;₪&quot;#,##0_);\(&quot;₪&quot;#,##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extLst>
    <c:ext xmlns:c15="http://schemas.microsoft.com/office/drawing/2012/chart" uri="{723BEF56-08C2-4564-9609-F4CBC75E7E54}">
      <c15:pivotSource>
        <c15:name>[Tabular model (Recovered).xlsx]PivotChartTable2</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rPr>
              <a:t>Revenue</a:t>
            </a:r>
            <a:r>
              <a:rPr lang="he-IL" sz="1600" b="1" i="0" u="none" strike="noStrike" kern="1200" spc="0" baseline="0">
                <a:solidFill>
                  <a:schemeClr val="tx1"/>
                </a:solidFill>
              </a:rPr>
              <a:t> </a:t>
            </a:r>
            <a:r>
              <a:rPr lang="en-US" sz="1600" b="1" i="0" u="none" strike="noStrike" kern="1200" spc="0" baseline="0">
                <a:solidFill>
                  <a:schemeClr val="tx1"/>
                </a:solidFill>
              </a:rPr>
              <a:t>by </a:t>
            </a:r>
            <a:r>
              <a:rPr lang="en-US" sz="1600" b="1">
                <a:solidFill>
                  <a:schemeClr val="tx1"/>
                </a:solidFill>
              </a:rPr>
              <a:t>Line of Business</a:t>
            </a:r>
            <a:r>
              <a:rPr lang="en-US" sz="1600" b="1" baseline="0">
                <a:solidFill>
                  <a:schemeClr val="tx1"/>
                </a:solidFill>
              </a:rPr>
              <a:t> </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IL"/>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546868227321315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IL"/>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589322902255245"/>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IL"/>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0849093498678595"/>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IL"/>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5-F0A0-4C17-B58D-CCB66A5E5468}"/>
              </c:ext>
            </c:extLst>
          </c:dPt>
          <c:dPt>
            <c:idx val="1"/>
            <c:bubble3D val="0"/>
            <c:spPr>
              <a:solidFill>
                <a:schemeClr val="accent2"/>
              </a:solidFill>
              <a:ln>
                <a:noFill/>
              </a:ln>
              <a:effectLst/>
            </c:spPr>
            <c:extLst>
              <c:ext xmlns:c16="http://schemas.microsoft.com/office/drawing/2014/chart" uri="{C3380CC4-5D6E-409C-BE32-E72D297353CC}">
                <c16:uniqueId val="{00000007-F0A0-4C17-B58D-CCB66A5E5468}"/>
              </c:ext>
            </c:extLst>
          </c:dPt>
          <c:dPt>
            <c:idx val="2"/>
            <c:bubble3D val="0"/>
            <c:spPr>
              <a:solidFill>
                <a:schemeClr val="accent3"/>
              </a:solidFill>
              <a:ln>
                <a:noFill/>
              </a:ln>
              <a:effectLst/>
            </c:spPr>
            <c:extLst>
              <c:ext xmlns:c16="http://schemas.microsoft.com/office/drawing/2014/chart" uri="{C3380CC4-5D6E-409C-BE32-E72D297353CC}">
                <c16:uniqueId val="{00000006-F0A0-4C17-B58D-CCB66A5E5468}"/>
              </c:ext>
            </c:extLst>
          </c:dPt>
          <c:dLbls>
            <c:dLbl>
              <c:idx val="0"/>
              <c:layout>
                <c:manualLayout>
                  <c:x val="0.15468682273213152"/>
                  <c:y val="-0.11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0A0-4C17-B58D-CCB66A5E5468}"/>
                </c:ext>
              </c:extLst>
            </c:dLbl>
            <c:dLbl>
              <c:idx val="1"/>
              <c:layout>
                <c:manualLayout>
                  <c:x val="-0.20849093498678595"/>
                  <c:y val="4.16666666666665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0A0-4C17-B58D-CCB66A5E5468}"/>
                </c:ext>
              </c:extLst>
            </c:dLbl>
            <c:dLbl>
              <c:idx val="2"/>
              <c:layout>
                <c:manualLayout>
                  <c:x val="-0.2589322902255245"/>
                  <c:y val="-9.72222222222222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0A0-4C17-B58D-CCB66A5E546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IL"/>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Health Insurance</c:v>
              </c:pt>
              <c:pt idx="1">
                <c:v>Life Insurance</c:v>
              </c:pt>
              <c:pt idx="2">
                <c:v>Property Insurance</c:v>
              </c:pt>
            </c:strLit>
          </c:cat>
          <c:val>
            <c:numLit>
              <c:formatCode>"₪"#,##0_);\("₪"#,##0\)</c:formatCode>
              <c:ptCount val="3"/>
              <c:pt idx="0">
                <c:v>237320.28229999999</c:v>
              </c:pt>
              <c:pt idx="1">
                <c:v>594253.43689999997</c:v>
              </c:pt>
              <c:pt idx="2">
                <c:v>95626.77</c:v>
              </c:pt>
            </c:numLit>
          </c:val>
          <c:extLst>
            <c:ext xmlns:c16="http://schemas.microsoft.com/office/drawing/2014/chart" uri="{C3380CC4-5D6E-409C-BE32-E72D297353CC}">
              <c16:uniqueId val="{00000000-F0A0-4C17-B58D-CCB66A5E546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extLst>
    <c:ext xmlns:c15="http://schemas.microsoft.com/office/drawing/2012/chart" uri="{723BEF56-08C2-4564-9609-F4CBC75E7E54}">
      <c15:pivotSource>
        <c15:name>[Tabular model (Recovered).xlsx]PivotChartTable3</c15:name>
        <c15:fmtId val="0"/>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 by </a:t>
            </a:r>
            <a:r>
              <a:rPr lang="en-US" sz="1600" b="1" i="0" u="none" strike="noStrike" kern="1200" spc="0" baseline="0">
                <a:solidFill>
                  <a:schemeClr val="tx1"/>
                </a:solidFill>
              </a:rPr>
              <a:t>Customer Type </a:t>
            </a:r>
            <a:endParaRPr lang="en-US" sz="1600" b="1">
              <a:solidFill>
                <a:schemeClr val="tx1"/>
              </a:solidFill>
            </a:endParaRPr>
          </a:p>
        </c:rich>
      </c:tx>
      <c:layout>
        <c:manualLayout>
          <c:xMode val="edge"/>
          <c:yMode val="edge"/>
          <c:x val="0.16479933742860894"/>
          <c:y val="4.18103114747817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IL"/>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AC2DFD0F-1B8F-4F8D-87E4-CB9C2062C79F}" type="VALUE">
                  <a:rPr lang="en-US" sz="900">
                    <a:solidFill>
                      <a:schemeClr val="tx1"/>
                    </a:solidFill>
                  </a:rPr>
                  <a:pPr>
                    <a:defRPr sz="1000"/>
                  </a:pPr>
                  <a:t>[VALUE]</a:t>
                </a:fld>
                <a:r>
                  <a:rPr lang="en-US" sz="900" baseline="0">
                    <a:solidFill>
                      <a:schemeClr val="tx1"/>
                    </a:solidFill>
                  </a:rPr>
                  <a:t>, </a:t>
                </a:r>
                <a:fld id="{9A243D75-0DAC-4191-8076-E507FD82A386}" type="PERCENTAGE">
                  <a:rPr lang="en-US" sz="900" baseline="0">
                    <a:solidFill>
                      <a:schemeClr val="tx1"/>
                    </a:solidFill>
                  </a:rPr>
                  <a:pPr>
                    <a:defRPr sz="1000"/>
                  </a:pPr>
                  <a:t>[PERCENTAGE]</a:t>
                </a:fld>
                <a:endParaRPr lang="en-US" sz="90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IL"/>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9F9FFF"/>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EE041973-7306-4219-881B-947ACD736A2A}" type="VALUE">
                  <a:rPr lang="en-US">
                    <a:solidFill>
                      <a:schemeClr val="tx1"/>
                    </a:solidFill>
                  </a:rPr>
                  <a:pPr>
                    <a:defRPr sz="1000"/>
                  </a:pPr>
                  <a:t>[VALUE]</a:t>
                </a:fld>
                <a:r>
                  <a:rPr lang="en-US" baseline="0"/>
                  <a:t>, </a:t>
                </a:r>
                <a:fld id="{60A0E739-64B7-4593-8B9C-DB753585B31A}" type="PERCENTAGE">
                  <a:rPr lang="en-US" baseline="0">
                    <a:solidFill>
                      <a:schemeClr val="tx1"/>
                    </a:solidFill>
                  </a:rPr>
                  <a:pPr>
                    <a:defRPr sz="10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IL"/>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v>Total</c:v>
          </c:tx>
          <c:dPt>
            <c:idx val="0"/>
            <c:bubble3D val="0"/>
            <c:spPr>
              <a:solidFill>
                <a:srgbClr val="9F9FFF"/>
              </a:solidFill>
              <a:ln>
                <a:noFill/>
              </a:ln>
              <a:effectLst/>
            </c:spPr>
            <c:extLst>
              <c:ext xmlns:c16="http://schemas.microsoft.com/office/drawing/2014/chart" uri="{C3380CC4-5D6E-409C-BE32-E72D297353CC}">
                <c16:uniqueId val="{00000003-34F0-4E95-B668-D18432177DC1}"/>
              </c:ext>
            </c:extLst>
          </c:dPt>
          <c:dPt>
            <c:idx val="1"/>
            <c:bubble3D val="0"/>
            <c:spPr>
              <a:solidFill>
                <a:schemeClr val="accent4">
                  <a:lumMod val="60000"/>
                  <a:lumOff val="40000"/>
                </a:schemeClr>
              </a:solidFill>
              <a:ln>
                <a:noFill/>
              </a:ln>
              <a:effectLst/>
            </c:spPr>
            <c:extLst>
              <c:ext xmlns:c16="http://schemas.microsoft.com/office/drawing/2014/chart" uri="{C3380CC4-5D6E-409C-BE32-E72D297353CC}">
                <c16:uniqueId val="{00000002-34F0-4E95-B668-D18432177DC1}"/>
              </c:ext>
            </c:extLst>
          </c:dPt>
          <c:dLbls>
            <c:dLbl>
              <c:idx val="0"/>
              <c:tx>
                <c:rich>
                  <a:bodyPr/>
                  <a:lstStyle/>
                  <a:p>
                    <a:fld id="{EE041973-7306-4219-881B-947ACD736A2A}" type="VALUE">
                      <a:rPr lang="en-US">
                        <a:solidFill>
                          <a:schemeClr val="tx1"/>
                        </a:solidFill>
                      </a:rPr>
                      <a:pPr/>
                      <a:t>[VALUE]</a:t>
                    </a:fld>
                    <a:r>
                      <a:rPr lang="en-US" baseline="0"/>
                      <a:t>, </a:t>
                    </a:r>
                    <a:fld id="{60A0E739-64B7-4593-8B9C-DB753585B31A}" type="PERCENTAGE">
                      <a:rPr lang="en-US" baseline="0">
                        <a:solidFill>
                          <a:schemeClr val="tx1"/>
                        </a:solidFill>
                      </a:rPr>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4F0-4E95-B668-D18432177DC1}"/>
                </c:ext>
              </c:extLst>
            </c:dLbl>
            <c:dLbl>
              <c:idx val="1"/>
              <c:tx>
                <c:rich>
                  <a:bodyPr/>
                  <a:lstStyle/>
                  <a:p>
                    <a:fld id="{AC2DFD0F-1B8F-4F8D-87E4-CB9C2062C79F}" type="VALUE">
                      <a:rPr lang="en-US" sz="900">
                        <a:solidFill>
                          <a:schemeClr val="tx1"/>
                        </a:solidFill>
                      </a:rPr>
                      <a:pPr/>
                      <a:t>[VALUE]</a:t>
                    </a:fld>
                    <a:r>
                      <a:rPr lang="en-US" sz="900" baseline="0">
                        <a:solidFill>
                          <a:schemeClr val="tx1"/>
                        </a:solidFill>
                      </a:rPr>
                      <a:t>, </a:t>
                    </a:r>
                    <a:fld id="{9A243D75-0DAC-4191-8076-E507FD82A386}" type="PERCENTAGE">
                      <a:rPr lang="en-US" sz="900" baseline="0">
                        <a:solidFill>
                          <a:schemeClr val="tx1"/>
                        </a:solidFill>
                      </a:rPr>
                      <a:pPr/>
                      <a:t>[PERCENTAGE]</a:t>
                    </a:fld>
                    <a:endParaRPr lang="en-US" sz="900" baseline="0">
                      <a:solidFill>
                        <a:schemeClr val="tx1"/>
                      </a:solidFill>
                    </a:endParaRPr>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4F0-4E95-B668-D18432177DC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IL"/>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Distributor</c:v>
              </c:pt>
              <c:pt idx="1">
                <c:v>End-User</c:v>
              </c:pt>
            </c:strLit>
          </c:cat>
          <c:val>
            <c:numLit>
              <c:formatCode>"₪"#,##0_);\("₪"#,##0\)</c:formatCode>
              <c:ptCount val="2"/>
              <c:pt idx="0">
                <c:v>692894.04760000005</c:v>
              </c:pt>
              <c:pt idx="1">
                <c:v>234306.44159999999</c:v>
              </c:pt>
            </c:numLit>
          </c:val>
          <c:extLst>
            <c:ext xmlns:c16="http://schemas.microsoft.com/office/drawing/2014/chart" uri="{C3380CC4-5D6E-409C-BE32-E72D297353CC}">
              <c16:uniqueId val="{00000000-34F0-4E95-B668-D18432177D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707474665432555"/>
          <c:y val="0.44461464376964044"/>
          <c:w val="0.21829070742516593"/>
          <c:h val="0.199166265375221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extLst>
    <c:ext xmlns:c15="http://schemas.microsoft.com/office/drawing/2012/chart" uri="{723BEF56-08C2-4564-9609-F4CBC75E7E54}">
      <c15:pivotSource>
        <c15:name>[Tabular model (Recovered).xlsx]PivotChartTable4</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&amp; Units Sold 2011 to 2013</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L"/>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TotRev</c:v>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2011</c:v>
              </c:pt>
              <c:pt idx="1">
                <c:v>2012</c:v>
              </c:pt>
              <c:pt idx="2">
                <c:v>2013</c:v>
              </c:pt>
            </c:strLit>
          </c:cat>
          <c:val>
            <c:numLit>
              <c:formatCode>"₪"#,##0_);\("₪"#,##0\)</c:formatCode>
              <c:ptCount val="3"/>
              <c:pt idx="0">
                <c:v>295753.10690000001</c:v>
              </c:pt>
              <c:pt idx="1">
                <c:v>309798.31040000002</c:v>
              </c:pt>
              <c:pt idx="2">
                <c:v>321649.07189999998</c:v>
              </c:pt>
            </c:numLit>
          </c:val>
          <c:extLst>
            <c:ext xmlns:c16="http://schemas.microsoft.com/office/drawing/2014/chart" uri="{C3380CC4-5D6E-409C-BE32-E72D297353CC}">
              <c16:uniqueId val="{00000000-0D45-4DB7-816F-79B438B2D586}"/>
            </c:ext>
          </c:extLst>
        </c:ser>
        <c:dLbls>
          <c:showLegendKey val="0"/>
          <c:showVal val="1"/>
          <c:showCatName val="0"/>
          <c:showSerName val="0"/>
          <c:showPercent val="0"/>
          <c:showBubbleSize val="0"/>
        </c:dLbls>
        <c:gapWidth val="219"/>
        <c:axId val="1862298224"/>
        <c:axId val="1862300144"/>
      </c:barChart>
      <c:lineChart>
        <c:grouping val="standard"/>
        <c:varyColors val="0"/>
        <c:ser>
          <c:idx val="1"/>
          <c:order val="1"/>
          <c:tx>
            <c:v>ProductQty</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2011</c:v>
              </c:pt>
              <c:pt idx="1">
                <c:v>2012</c:v>
              </c:pt>
              <c:pt idx="2">
                <c:v>2013</c:v>
              </c:pt>
            </c:strLit>
          </c:cat>
          <c:val>
            <c:numLit>
              <c:formatCode>General</c:formatCode>
              <c:ptCount val="3"/>
              <c:pt idx="0">
                <c:v>13147</c:v>
              </c:pt>
              <c:pt idx="1">
                <c:v>13164</c:v>
              </c:pt>
              <c:pt idx="2">
                <c:v>12901</c:v>
              </c:pt>
            </c:numLit>
          </c:val>
          <c:smooth val="0"/>
          <c:extLst>
            <c:ext xmlns:c16="http://schemas.microsoft.com/office/drawing/2014/chart" uri="{C3380CC4-5D6E-409C-BE32-E72D297353CC}">
              <c16:uniqueId val="{00000002-0D45-4DB7-816F-79B438B2D586}"/>
            </c:ext>
          </c:extLst>
        </c:ser>
        <c:dLbls>
          <c:showLegendKey val="0"/>
          <c:showVal val="1"/>
          <c:showCatName val="0"/>
          <c:showSerName val="0"/>
          <c:showPercent val="0"/>
          <c:showBubbleSize val="0"/>
        </c:dLbls>
        <c:marker val="1"/>
        <c:smooth val="0"/>
        <c:axId val="485821600"/>
        <c:axId val="485813440"/>
      </c:lineChart>
      <c:catAx>
        <c:axId val="186229822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862300144"/>
        <c:crosses val="autoZero"/>
        <c:auto val="1"/>
        <c:lblAlgn val="ctr"/>
        <c:lblOffset val="100"/>
        <c:noMultiLvlLbl val="0"/>
        <c:extLst>
          <c:ext xmlns:c15="http://schemas.microsoft.com/office/drawing/2012/chart" uri="{F40574EE-89B7-4290-83BB-5DA773EAF853}">
            <c15:numFmt c:formatCode="General" c:sourceLinked="1"/>
          </c:ext>
        </c:extLst>
      </c:catAx>
      <c:valAx>
        <c:axId val="1862300144"/>
        <c:scaling>
          <c:orientation val="minMax"/>
        </c:scaling>
        <c:delete val="0"/>
        <c:axPos val="l"/>
        <c:numFmt formatCode="&quot;₪&quot;#,##0_);\(&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862298224"/>
        <c:crosses val="autoZero"/>
        <c:crossBetween val="between"/>
        <c:extLst>
          <c:ext xmlns:c15="http://schemas.microsoft.com/office/drawing/2012/chart" uri="{F40574EE-89B7-4290-83BB-5DA773EAF853}">
            <c15:numFmt c:formatCode="&quot;₪&quot;#,##0_);\(&quot;₪&quot;#,##0\)" c:sourceLinked="1"/>
          </c:ext>
        </c:extLst>
      </c:valAx>
      <c:valAx>
        <c:axId val="485813440"/>
        <c:scaling>
          <c:orientation val="minMax"/>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485821600"/>
        <c:crosses val="max"/>
        <c:crossBetween val="between"/>
        <c:extLst>
          <c:ext xmlns:c15="http://schemas.microsoft.com/office/drawing/2012/chart" uri="{F40574EE-89B7-4290-83BB-5DA773EAF853}">
            <c15:numFmt c:formatCode="General" c:sourceLinked="1"/>
          </c:ext>
        </c:extLst>
      </c:valAx>
      <c:catAx>
        <c:axId val="485821600"/>
        <c:scaling>
          <c:orientation val="minMax"/>
        </c:scaling>
        <c:delete val="1"/>
        <c:axPos val="b"/>
        <c:numFmt formatCode="General" sourceLinked="0"/>
        <c:majorTickMark val="out"/>
        <c:minorTickMark val="none"/>
        <c:tickLblPos val="nextTo"/>
        <c:crossAx val="485813440"/>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L"/>
    </a:p>
  </c:txPr>
  <c:extLst>
    <c:ext xmlns:c15="http://schemas.microsoft.com/office/drawing/2012/chart" uri="{723BEF56-08C2-4564-9609-F4CBC75E7E54}">
      <c15:pivotSource>
        <c15:name>[Tabular model (Recovered).xlsx]PivotChartTable5</c15:name>
        <c15:fmtId val="0"/>
      </c15:pivotSource>
      <c15:pivotOptions>
        <c15:dropZoneFilter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28575</xdr:colOff>
      <xdr:row>3</xdr:row>
      <xdr:rowOff>0</xdr:rowOff>
    </xdr:from>
    <xdr:ext cx="1952625" cy="340070"/>
    <xdr:sp macro="" textlink="Sheet3!A3">
      <xdr:nvSpPr>
        <xdr:cNvPr id="3" name="TextBox 2">
          <a:extLst>
            <a:ext uri="{FF2B5EF4-FFF2-40B4-BE49-F238E27FC236}">
              <a16:creationId xmlns:a16="http://schemas.microsoft.com/office/drawing/2014/main" id="{FD761F4E-D202-394B-E32D-A81647DC815D}"/>
            </a:ext>
          </a:extLst>
        </xdr:cNvPr>
        <xdr:cNvSpPr txBox="1"/>
      </xdr:nvSpPr>
      <xdr:spPr>
        <a:xfrm>
          <a:off x="638175" y="571500"/>
          <a:ext cx="1952625" cy="340070"/>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C7D3BD2-3E4C-489F-B3EA-A4872A19DEBE}" type="TxLink">
            <a:rPr lang="en-US" sz="1400" b="1" i="0" u="none" strike="noStrike">
              <a:solidFill>
                <a:srgbClr val="000000"/>
              </a:solidFill>
              <a:latin typeface="Calibri"/>
              <a:ea typeface="Calibri"/>
              <a:cs typeface="Calibri"/>
            </a:rPr>
            <a:pPr algn="ctr"/>
            <a:t> ₪927,200 </a:t>
          </a:fld>
          <a:endParaRPr lang="en-IL" sz="1400" b="1"/>
        </a:p>
      </xdr:txBody>
    </xdr:sp>
    <xdr:clientData/>
  </xdr:oneCellAnchor>
  <xdr:oneCellAnchor>
    <xdr:from>
      <xdr:col>1</xdr:col>
      <xdr:colOff>28575</xdr:colOff>
      <xdr:row>0</xdr:row>
      <xdr:rowOff>133351</xdr:rowOff>
    </xdr:from>
    <xdr:ext cx="1952625" cy="457199"/>
    <xdr:sp macro="" textlink="">
      <xdr:nvSpPr>
        <xdr:cNvPr id="4" name="TextBox 3">
          <a:extLst>
            <a:ext uri="{FF2B5EF4-FFF2-40B4-BE49-F238E27FC236}">
              <a16:creationId xmlns:a16="http://schemas.microsoft.com/office/drawing/2014/main" id="{A0FB6AAC-B894-48D9-9D14-362A30D5C117}"/>
            </a:ext>
          </a:extLst>
        </xdr:cNvPr>
        <xdr:cNvSpPr txBox="1"/>
      </xdr:nvSpPr>
      <xdr:spPr>
        <a:xfrm>
          <a:off x="638175" y="133351"/>
          <a:ext cx="1952625" cy="457199"/>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t>Total</a:t>
          </a:r>
          <a:r>
            <a:rPr lang="en-US" sz="1400" b="1" baseline="0"/>
            <a:t> Revenue</a:t>
          </a:r>
          <a:endParaRPr lang="en-US" sz="1100" b="1" baseline="0"/>
        </a:p>
        <a:p>
          <a:r>
            <a:rPr lang="en-US" sz="1100"/>
            <a:t> </a:t>
          </a:r>
        </a:p>
      </xdr:txBody>
    </xdr:sp>
    <xdr:clientData/>
  </xdr:oneCellAnchor>
  <xdr:oneCellAnchor>
    <xdr:from>
      <xdr:col>11</xdr:col>
      <xdr:colOff>457200</xdr:colOff>
      <xdr:row>3</xdr:row>
      <xdr:rowOff>66675</xdr:rowOff>
    </xdr:from>
    <xdr:ext cx="1952624" cy="340071"/>
    <xdr:sp macro="" textlink="Sheet3!C3">
      <xdr:nvSpPr>
        <xdr:cNvPr id="5" name="TextBox 4">
          <a:extLst>
            <a:ext uri="{FF2B5EF4-FFF2-40B4-BE49-F238E27FC236}">
              <a16:creationId xmlns:a16="http://schemas.microsoft.com/office/drawing/2014/main" id="{79984C33-23F1-4940-BAE0-C65004E37030}"/>
            </a:ext>
          </a:extLst>
        </xdr:cNvPr>
        <xdr:cNvSpPr txBox="1"/>
      </xdr:nvSpPr>
      <xdr:spPr>
        <a:xfrm>
          <a:off x="7162800" y="638175"/>
          <a:ext cx="1952624" cy="340071"/>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1D3D8DF-CE67-4A62-B71E-910108864A55}" type="TxLink">
            <a:rPr lang="en-US" sz="1400" b="1" i="0" u="none" strike="noStrike">
              <a:solidFill>
                <a:srgbClr val="000000"/>
              </a:solidFill>
              <a:latin typeface="Calibri"/>
              <a:ea typeface="Calibri"/>
              <a:cs typeface="Calibri"/>
            </a:rPr>
            <a:pPr algn="ctr"/>
            <a:t> 39,212 </a:t>
          </a:fld>
          <a:endParaRPr lang="en-IL" sz="1800" b="1"/>
        </a:p>
      </xdr:txBody>
    </xdr:sp>
    <xdr:clientData/>
  </xdr:oneCellAnchor>
  <xdr:oneCellAnchor>
    <xdr:from>
      <xdr:col>11</xdr:col>
      <xdr:colOff>457200</xdr:colOff>
      <xdr:row>0</xdr:row>
      <xdr:rowOff>180975</xdr:rowOff>
    </xdr:from>
    <xdr:ext cx="1952625" cy="457199"/>
    <xdr:sp macro="" textlink="">
      <xdr:nvSpPr>
        <xdr:cNvPr id="6" name="TextBox 5">
          <a:extLst>
            <a:ext uri="{FF2B5EF4-FFF2-40B4-BE49-F238E27FC236}">
              <a16:creationId xmlns:a16="http://schemas.microsoft.com/office/drawing/2014/main" id="{6F1F9D29-E005-4A6C-AC8F-BC7DA891269F}"/>
            </a:ext>
          </a:extLst>
        </xdr:cNvPr>
        <xdr:cNvSpPr txBox="1"/>
      </xdr:nvSpPr>
      <xdr:spPr>
        <a:xfrm>
          <a:off x="7162800" y="180975"/>
          <a:ext cx="1952625" cy="457199"/>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t>Units</a:t>
          </a:r>
          <a:r>
            <a:rPr lang="en-US" sz="1400" b="1" baseline="0"/>
            <a:t> Sold</a:t>
          </a:r>
        </a:p>
        <a:p>
          <a:pPr algn="ctr"/>
          <a:endParaRPr lang="en-US" sz="1100" b="1" baseline="0"/>
        </a:p>
        <a:p>
          <a:r>
            <a:rPr lang="en-US" sz="1100"/>
            <a:t> </a:t>
          </a:r>
        </a:p>
      </xdr:txBody>
    </xdr:sp>
    <xdr:clientData/>
  </xdr:oneCellAnchor>
  <xdr:oneCellAnchor>
    <xdr:from>
      <xdr:col>4</xdr:col>
      <xdr:colOff>361950</xdr:colOff>
      <xdr:row>0</xdr:row>
      <xdr:rowOff>152400</xdr:rowOff>
    </xdr:from>
    <xdr:ext cx="1952625" cy="457199"/>
    <xdr:sp macro="" textlink="">
      <xdr:nvSpPr>
        <xdr:cNvPr id="8" name="TextBox 7">
          <a:extLst>
            <a:ext uri="{FF2B5EF4-FFF2-40B4-BE49-F238E27FC236}">
              <a16:creationId xmlns:a16="http://schemas.microsoft.com/office/drawing/2014/main" id="{597B3027-7BBD-4355-8284-70259EC1AF4B}"/>
            </a:ext>
          </a:extLst>
        </xdr:cNvPr>
        <xdr:cNvSpPr txBox="1"/>
      </xdr:nvSpPr>
      <xdr:spPr>
        <a:xfrm>
          <a:off x="2800350" y="152400"/>
          <a:ext cx="1952625" cy="457199"/>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baseline="0"/>
            <a:t>Total Orders</a:t>
          </a:r>
        </a:p>
        <a:p>
          <a:pPr algn="ctr"/>
          <a:endParaRPr lang="en-US" sz="1100" b="1" baseline="0"/>
        </a:p>
        <a:p>
          <a:r>
            <a:rPr lang="en-US" sz="1100"/>
            <a:t> </a:t>
          </a:r>
        </a:p>
      </xdr:txBody>
    </xdr:sp>
    <xdr:clientData/>
  </xdr:oneCellAnchor>
  <xdr:oneCellAnchor>
    <xdr:from>
      <xdr:col>4</xdr:col>
      <xdr:colOff>361950</xdr:colOff>
      <xdr:row>3</xdr:row>
      <xdr:rowOff>19050</xdr:rowOff>
    </xdr:from>
    <xdr:ext cx="1952625" cy="340071"/>
    <xdr:sp macro="" textlink="Sheet3!E3">
      <xdr:nvSpPr>
        <xdr:cNvPr id="12" name="TextBox 11">
          <a:extLst>
            <a:ext uri="{FF2B5EF4-FFF2-40B4-BE49-F238E27FC236}">
              <a16:creationId xmlns:a16="http://schemas.microsoft.com/office/drawing/2014/main" id="{E8C5DE7B-74BB-4290-81F6-F33560579D9F}"/>
            </a:ext>
          </a:extLst>
        </xdr:cNvPr>
        <xdr:cNvSpPr txBox="1"/>
      </xdr:nvSpPr>
      <xdr:spPr>
        <a:xfrm>
          <a:off x="2800350" y="590550"/>
          <a:ext cx="1952625" cy="340071"/>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C12233E-BC0F-4A9F-9014-2A854115EC98}" type="TxLink">
            <a:rPr lang="en-US" sz="1400" b="1" i="0" u="none" strike="noStrike">
              <a:solidFill>
                <a:srgbClr val="000000"/>
              </a:solidFill>
              <a:latin typeface="Calibri"/>
              <a:ea typeface="Calibri"/>
              <a:cs typeface="Calibri"/>
            </a:rPr>
            <a:pPr algn="ctr"/>
            <a:t>571</a:t>
          </a:fld>
          <a:endParaRPr lang="en-IL" sz="2400" b="1"/>
        </a:p>
      </xdr:txBody>
    </xdr:sp>
    <xdr:clientData/>
  </xdr:oneCellAnchor>
  <xdr:oneCellAnchor>
    <xdr:from>
      <xdr:col>8</xdr:col>
      <xdr:colOff>95250</xdr:colOff>
      <xdr:row>0</xdr:row>
      <xdr:rowOff>171450</xdr:rowOff>
    </xdr:from>
    <xdr:ext cx="1952625" cy="457199"/>
    <xdr:sp macro="" textlink="">
      <xdr:nvSpPr>
        <xdr:cNvPr id="13" name="TextBox 12">
          <a:extLst>
            <a:ext uri="{FF2B5EF4-FFF2-40B4-BE49-F238E27FC236}">
              <a16:creationId xmlns:a16="http://schemas.microsoft.com/office/drawing/2014/main" id="{6431FF66-EC87-43D1-A08B-D87341EDEEA5}"/>
            </a:ext>
          </a:extLst>
        </xdr:cNvPr>
        <xdr:cNvSpPr txBox="1"/>
      </xdr:nvSpPr>
      <xdr:spPr>
        <a:xfrm>
          <a:off x="4972050" y="171450"/>
          <a:ext cx="1952625" cy="457199"/>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baseline="0"/>
            <a:t>Average Order Value</a:t>
          </a:r>
        </a:p>
        <a:p>
          <a:pPr algn="ctr"/>
          <a:endParaRPr lang="en-US" sz="1100" b="1" baseline="0"/>
        </a:p>
        <a:p>
          <a:r>
            <a:rPr lang="en-US" sz="1100"/>
            <a:t> </a:t>
          </a:r>
        </a:p>
      </xdr:txBody>
    </xdr:sp>
    <xdr:clientData/>
  </xdr:oneCellAnchor>
  <xdr:oneCellAnchor>
    <xdr:from>
      <xdr:col>8</xdr:col>
      <xdr:colOff>95250</xdr:colOff>
      <xdr:row>3</xdr:row>
      <xdr:rowOff>47625</xdr:rowOff>
    </xdr:from>
    <xdr:ext cx="1952626" cy="340071"/>
    <xdr:sp macro="" textlink="Sheet3!B3">
      <xdr:nvSpPr>
        <xdr:cNvPr id="14" name="TextBox 13">
          <a:extLst>
            <a:ext uri="{FF2B5EF4-FFF2-40B4-BE49-F238E27FC236}">
              <a16:creationId xmlns:a16="http://schemas.microsoft.com/office/drawing/2014/main" id="{AF4C7B39-63C9-4A3D-A8D7-EA036C8ECA96}"/>
            </a:ext>
          </a:extLst>
        </xdr:cNvPr>
        <xdr:cNvSpPr txBox="1"/>
      </xdr:nvSpPr>
      <xdr:spPr>
        <a:xfrm>
          <a:off x="4972050" y="619125"/>
          <a:ext cx="1952626" cy="340071"/>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8323FEA-1AC4-4BE7-B2D4-BC24C59B7F43}" type="TxLink">
            <a:rPr lang="en-US" sz="1400" b="1" i="0" u="none" strike="noStrike">
              <a:solidFill>
                <a:srgbClr val="000000"/>
              </a:solidFill>
              <a:latin typeface="Calibri"/>
              <a:ea typeface="Calibri"/>
              <a:cs typeface="Calibri"/>
            </a:rPr>
            <a:pPr algn="ctr"/>
            <a:t> ₪1,624 </a:t>
          </a:fld>
          <a:endParaRPr lang="en-IL" sz="3200" b="1"/>
        </a:p>
      </xdr:txBody>
    </xdr:sp>
    <xdr:clientData/>
  </xdr:oneCellAnchor>
  <xdr:oneCellAnchor>
    <xdr:from>
      <xdr:col>15</xdr:col>
      <xdr:colOff>238125</xdr:colOff>
      <xdr:row>1</xdr:row>
      <xdr:rowOff>19050</xdr:rowOff>
    </xdr:from>
    <xdr:ext cx="1952625" cy="457199"/>
    <xdr:sp macro="" textlink="">
      <xdr:nvSpPr>
        <xdr:cNvPr id="20" name="TextBox 19">
          <a:extLst>
            <a:ext uri="{FF2B5EF4-FFF2-40B4-BE49-F238E27FC236}">
              <a16:creationId xmlns:a16="http://schemas.microsoft.com/office/drawing/2014/main" id="{081E4168-CDD9-4F57-9DE1-A03F8867584E}"/>
            </a:ext>
          </a:extLst>
        </xdr:cNvPr>
        <xdr:cNvSpPr txBox="1"/>
      </xdr:nvSpPr>
      <xdr:spPr>
        <a:xfrm>
          <a:off x="9382125" y="209550"/>
          <a:ext cx="1952625" cy="457199"/>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baseline="0"/>
            <a:t>Active Customers</a:t>
          </a:r>
          <a:endParaRPr lang="en-US" sz="1100" b="1" baseline="0"/>
        </a:p>
        <a:p>
          <a:r>
            <a:rPr lang="en-US" sz="1100"/>
            <a:t> </a:t>
          </a:r>
        </a:p>
      </xdr:txBody>
    </xdr:sp>
    <xdr:clientData/>
  </xdr:oneCellAnchor>
  <xdr:oneCellAnchor>
    <xdr:from>
      <xdr:col>15</xdr:col>
      <xdr:colOff>238126</xdr:colOff>
      <xdr:row>3</xdr:row>
      <xdr:rowOff>85725</xdr:rowOff>
    </xdr:from>
    <xdr:ext cx="1952624" cy="340071"/>
    <xdr:sp macro="" textlink="Sheet3!D3">
      <xdr:nvSpPr>
        <xdr:cNvPr id="21" name="TextBox 20">
          <a:extLst>
            <a:ext uri="{FF2B5EF4-FFF2-40B4-BE49-F238E27FC236}">
              <a16:creationId xmlns:a16="http://schemas.microsoft.com/office/drawing/2014/main" id="{6B37C3BE-00FF-43C9-90F3-574686FAF54F}"/>
            </a:ext>
          </a:extLst>
        </xdr:cNvPr>
        <xdr:cNvSpPr txBox="1"/>
      </xdr:nvSpPr>
      <xdr:spPr>
        <a:xfrm>
          <a:off x="9382126" y="657225"/>
          <a:ext cx="1952624" cy="340071"/>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04BFB2C-6A13-4720-84AF-60E83794E56E}" type="TxLink">
            <a:rPr lang="en-US" sz="1400" b="1" i="0" u="none" strike="noStrike">
              <a:solidFill>
                <a:srgbClr val="000000"/>
              </a:solidFill>
              <a:latin typeface="Calibri"/>
              <a:ea typeface="Calibri"/>
              <a:cs typeface="Calibri"/>
            </a:rPr>
            <a:pPr algn="ctr"/>
            <a:t>94</a:t>
          </a:fld>
          <a:endParaRPr lang="en-IL" sz="2400" b="1"/>
        </a:p>
      </xdr:txBody>
    </xdr:sp>
    <xdr:clientData/>
  </xdr:oneCellAnchor>
  <xdr:twoCellAnchor editAs="oneCell">
    <xdr:from>
      <xdr:col>0</xdr:col>
      <xdr:colOff>66675</xdr:colOff>
      <xdr:row>5</xdr:row>
      <xdr:rowOff>95251</xdr:rowOff>
    </xdr:from>
    <xdr:to>
      <xdr:col>3</xdr:col>
      <xdr:colOff>66675</xdr:colOff>
      <xdr:row>13</xdr:row>
      <xdr:rowOff>38100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0C8B4F74-2A3B-A5FF-A675-6BBC60D53D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675" y="1047751"/>
              <a:ext cx="1828800" cy="1466849"/>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390524</xdr:colOff>
      <xdr:row>6</xdr:row>
      <xdr:rowOff>90487</xdr:rowOff>
    </xdr:from>
    <xdr:to>
      <xdr:col>13</xdr:col>
      <xdr:colOff>609599</xdr:colOff>
      <xdr:row>20</xdr:row>
      <xdr:rowOff>133350</xdr:rowOff>
    </xdr:to>
    <xdr:graphicFrame macro="">
      <xdr:nvGraphicFramePr>
        <xdr:cNvPr id="2" name="Chart 1">
          <a:extLst>
            <a:ext uri="{FF2B5EF4-FFF2-40B4-BE49-F238E27FC236}">
              <a16:creationId xmlns:a16="http://schemas.microsoft.com/office/drawing/2014/main" id="{266BD8DC-C639-8414-4BF2-EA610B9B8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100011</xdr:colOff>
      <xdr:row>22</xdr:row>
      <xdr:rowOff>9525</xdr:rowOff>
    </xdr:from>
    <xdr:to>
      <xdr:col>10</xdr:col>
      <xdr:colOff>152400</xdr:colOff>
      <xdr:row>36</xdr:row>
      <xdr:rowOff>85725</xdr:rowOff>
    </xdr:to>
    <xdr:graphicFrame macro="">
      <xdr:nvGraphicFramePr>
        <xdr:cNvPr id="16" name="Chart 15">
          <a:extLst>
            <a:ext uri="{FF2B5EF4-FFF2-40B4-BE49-F238E27FC236}">
              <a16:creationId xmlns:a16="http://schemas.microsoft.com/office/drawing/2014/main" id="{FA7CBAB4-05A7-77D1-C004-6D85AD800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66675</xdr:colOff>
      <xdr:row>13</xdr:row>
      <xdr:rowOff>123826</xdr:rowOff>
    </xdr:from>
    <xdr:to>
      <xdr:col>3</xdr:col>
      <xdr:colOff>66675</xdr:colOff>
      <xdr:row>19</xdr:row>
      <xdr:rowOff>142876</xdr:rowOff>
    </xdr:to>
    <mc:AlternateContent xmlns:mc="http://schemas.openxmlformats.org/markup-compatibility/2006" xmlns:a14="http://schemas.microsoft.com/office/drawing/2010/main">
      <mc:Choice Requires="a14">
        <xdr:graphicFrame macro="">
          <xdr:nvGraphicFramePr>
            <xdr:cNvPr id="18" name="DivisionName">
              <a:extLst>
                <a:ext uri="{FF2B5EF4-FFF2-40B4-BE49-F238E27FC236}">
                  <a16:creationId xmlns:a16="http://schemas.microsoft.com/office/drawing/2014/main" id="{15749452-E33F-D5AE-903E-934467291528}"/>
                </a:ext>
              </a:extLst>
            </xdr:cNvPr>
            <xdr:cNvGraphicFramePr/>
          </xdr:nvGraphicFramePr>
          <xdr:xfrm>
            <a:off x="0" y="0"/>
            <a:ext cx="0" cy="0"/>
          </xdr:xfrm>
          <a:graphic>
            <a:graphicData uri="http://schemas.microsoft.com/office/drawing/2010/slicer">
              <sle:slicer xmlns:sle="http://schemas.microsoft.com/office/drawing/2010/slicer" name="DivisionName"/>
            </a:graphicData>
          </a:graphic>
        </xdr:graphicFrame>
      </mc:Choice>
      <mc:Fallback xmlns="">
        <xdr:sp macro="" textlink="">
          <xdr:nvSpPr>
            <xdr:cNvPr id="0" name=""/>
            <xdr:cNvSpPr>
              <a:spLocks noTextEdit="1"/>
            </xdr:cNvSpPr>
          </xdr:nvSpPr>
          <xdr:spPr>
            <a:xfrm>
              <a:off x="66675" y="2600326"/>
              <a:ext cx="1828800" cy="1162050"/>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481013</xdr:colOff>
      <xdr:row>22</xdr:row>
      <xdr:rowOff>23812</xdr:rowOff>
    </xdr:from>
    <xdr:to>
      <xdr:col>16</xdr:col>
      <xdr:colOff>323851</xdr:colOff>
      <xdr:row>36</xdr:row>
      <xdr:rowOff>100012</xdr:rowOff>
    </xdr:to>
    <xdr:graphicFrame macro="">
      <xdr:nvGraphicFramePr>
        <xdr:cNvPr id="19" name="Chart 18">
          <a:extLst>
            <a:ext uri="{FF2B5EF4-FFF2-40B4-BE49-F238E27FC236}">
              <a16:creationId xmlns:a16="http://schemas.microsoft.com/office/drawing/2014/main" id="{96870013-AFCB-FF90-69C3-48036044E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33338</xdr:colOff>
      <xdr:row>22</xdr:row>
      <xdr:rowOff>52387</xdr:rowOff>
    </xdr:from>
    <xdr:to>
      <xdr:col>22</xdr:col>
      <xdr:colOff>581026</xdr:colOff>
      <xdr:row>36</xdr:row>
      <xdr:rowOff>47625</xdr:rowOff>
    </xdr:to>
    <xdr:graphicFrame macro="">
      <xdr:nvGraphicFramePr>
        <xdr:cNvPr id="22" name="Chart 21">
          <a:extLst>
            <a:ext uri="{FF2B5EF4-FFF2-40B4-BE49-F238E27FC236}">
              <a16:creationId xmlns:a16="http://schemas.microsoft.com/office/drawing/2014/main" id="{CD1F2CF6-9713-4D6D-6E21-EDE314D6E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371474</xdr:colOff>
      <xdr:row>6</xdr:row>
      <xdr:rowOff>57150</xdr:rowOff>
    </xdr:from>
    <xdr:to>
      <xdr:col>23</xdr:col>
      <xdr:colOff>0</xdr:colOff>
      <xdr:row>20</xdr:row>
      <xdr:rowOff>176212</xdr:rowOff>
    </xdr:to>
    <xdr:graphicFrame macro="">
      <xdr:nvGraphicFramePr>
        <xdr:cNvPr id="23" name="Chart 22">
          <a:extLst>
            <a:ext uri="{FF2B5EF4-FFF2-40B4-BE49-F238E27FC236}">
              <a16:creationId xmlns:a16="http://schemas.microsoft.com/office/drawing/2014/main" id="{A0F58FB7-7AD8-17B2-C4C9-029340781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 Aesa" refreshedDate="46064.38676898148" backgroundQuery="1" createdVersion="8" refreshedVersion="8" minRefreshableVersion="3" recordCount="0" supportSubquery="1" supportAdvancedDrill="1" xr:uid="{F315DF94-D05B-43D1-92B8-23F538312435}">
  <cacheSource type="external" connectionId="11"/>
  <cacheFields count="6">
    <cacheField name="[Measures].[TotRev]" caption="TotRev" numFmtId="0" hierarchy="30" level="32767"/>
    <cacheField name="[Measures].[OrderQty]" caption="OrderQty" numFmtId="0" hierarchy="32" level="32767"/>
    <cacheField name="[Measures].[ProductQty]" caption="ProductQty" numFmtId="0" hierarchy="35" level="32767"/>
    <cacheField name="[Dim_Customers].[Country].[Country]" caption="Country" numFmtId="0" hierarchy="5" level="1">
      <sharedItems count="10">
        <s v="Canada"/>
        <s v="India"/>
        <s v="Italy"/>
        <s v="Lithuania"/>
        <s v="South Korea"/>
        <s v="Spain"/>
        <s v="Switzerland"/>
        <s v="Taiwan"/>
        <s v="United Kingdom"/>
        <s v="USA"/>
      </sharedItems>
    </cacheField>
    <cacheField name="[Measures].[AvgOrderRev]" caption="AvgOrderRev" numFmtId="0" hierarchy="36" level="32767"/>
    <cacheField name="[Measures].[NCustomers]" caption="NCustomers" numFmtId="0" hierarchy="34" level="32767"/>
  </cacheFields>
  <cacheHierarchies count="52">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GEO Region]" caption="GEO Region" attribute="1" defaultMemberUniqueName="[Dim_Customers].[GEO Region].[All]" allUniqueName="[Dim_Customers].[GEO 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3"/>
      </fieldsUsage>
    </cacheHierarchy>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20" unbalanced="0"/>
    <cacheHierarchy uniqueName="[Dim_Orders].[Date]" caption="Date" attribute="1" time="1" defaultMemberUniqueName="[Dim_Orders].[Date].[All]" allUniqueName="[Dim_Orders].[Date].[All]" dimensionUniqueName="[Dim_Orders]" displayFolder="" count="0" memberValueDatatype="7"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SalesSK]" caption="SalesSK" attribute="1" defaultMemberUniqueName="[Fact_Sales].[SalesSK].[All]" allUniqueName="[Fact_Sales].[SalesSK].[All]" dimensionUniqueName="[Fact_Sales]" displayFolder="" count="0" memberValueDatatype="2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Price]" caption="UnitPrice" attribute="1" defaultMemberUniqueName="[Fact_Sales].[UnitPrice].[All]" allUniqueName="[Fact_Sales].[UnitPrice].[All]" dimensionUniqueName="[Fact_Sales]" displayFolder="" count="0" memberValueDatatype="5" unbalanced="0"/>
    <cacheHierarchy uniqueName="[Measures].[TotRev]" caption="TotRev" measure="1" displayFolder="" measureGroup="Fact_Sales" count="0" oneField="1">
      <fieldsUsage count="1">
        <fieldUsage x="0"/>
      </fieldsUsage>
    </cacheHierarchy>
    <cacheHierarchy uniqueName="[Measures].[AvgRev]" caption="AvgRev" measure="1" displayFolder="" measureGroup="Fact_Sales" count="0"/>
    <cacheHierarchy uniqueName="[Measures].[OrderQty]" caption="OrderQty" measure="1" displayFolder="" measureGroup="Fact_Sales" count="0" oneField="1">
      <fieldsUsage count="1">
        <fieldUsage x="1"/>
      </fieldsUsage>
    </cacheHierarchy>
    <cacheHierarchy uniqueName="[Measures].[AvgPrice]" caption="AvgPrice" measure="1" displayFolder="" measureGroup="Fact_Sales" count="0"/>
    <cacheHierarchy uniqueName="[Measures].[NCustomers]" caption="NCustomers" measure="1" displayFolder="" measureGroup="Fact_Sales" count="0" oneField="1">
      <fieldsUsage count="1">
        <fieldUsage x="5"/>
      </fieldsUsage>
    </cacheHierarchy>
    <cacheHierarchy uniqueName="[Measures].[ProductQty]" caption="ProductQty" measure="1" displayFolder="" measureGroup="Fact_Sales" count="0" oneField="1">
      <fieldsUsage count="1">
        <fieldUsage x="2"/>
      </fieldsUsage>
    </cacheHierarchy>
    <cacheHierarchy uniqueName="[Measures].[AvgOrderRev]" caption="AvgOrderRev" measure="1" displayFolder="" measureGroup="Fact_Sales" count="0" oneField="1">
      <fieldsUsage count="1">
        <fieldUsage x="4"/>
      </fieldsUsage>
    </cacheHierarchy>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Year 2]" caption="Sum of Year 2" measure="1" displayFolder="" measureGroup="Dim_Orders" count="0" hidden="1">
      <extLst>
        <ext xmlns:x15="http://schemas.microsoft.com/office/spreadsheetml/2010/11/main" uri="{B97F6D7D-B522-45F9-BDA1-12C45D357490}">
          <x15:cacheHierarchy aggregatedColumn="13"/>
        </ext>
      </extLst>
    </cacheHierarchy>
    <cacheHierarchy uniqueName="[Measures].[Sum of Quarter]" caption="Sum of Quarter" measure="1" displayFolder="" measureGroup="Dim_Orders" count="0" hidden="1">
      <extLst>
        <ext xmlns:x15="http://schemas.microsoft.com/office/spreadsheetml/2010/11/main" uri="{B97F6D7D-B522-45F9-BDA1-12C45D357490}">
          <x15:cacheHierarchy aggregatedColumn="14"/>
        </ext>
      </extLst>
    </cacheHierarchy>
    <cacheHierarchy uniqueName="[Measures].[Sum of CustomerSK]" caption="Sum of CustomerSK" measure="1" displayFolder="" measureGroup="Dim_Customers" count="0" hidden="1">
      <extLst>
        <ext xmlns:x15="http://schemas.microsoft.com/office/spreadsheetml/2010/11/main" uri="{B97F6D7D-B522-45F9-BDA1-12C45D357490}">
          <x15:cacheHierarchy aggregatedColumn="0"/>
        </ext>
      </extLst>
    </cacheHierarchy>
    <cacheHierarchy uniqueName="[Measures].[Count of IndustryType]" caption="Count of IndustryType" measure="1" displayFolder="" measureGroup="Dim_Customers"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29"/>
        </ext>
      </extLst>
    </cacheHierarchy>
    <cacheHierarchy uniqueName="[Measures].[Average of UnitPrice]" caption="Average of UnitPrice" measure="1" displayFolder="" measureGroup="Fact_Sales" count="0" hidden="1">
      <extLst>
        <ext xmlns:x15="http://schemas.microsoft.com/office/spreadsheetml/2010/11/main" uri="{B97F6D7D-B522-45F9-BDA1-12C45D357490}">
          <x15:cacheHierarchy aggregatedColumn="29"/>
        </ext>
      </extLst>
    </cacheHierarchy>
  </cacheHierarchies>
  <kpis count="0"/>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8">
    <map measureGroup="0" dimension="0"/>
    <map measureGroup="1" dimension="1"/>
    <map measureGroup="2" dimension="2"/>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 Aesa" refreshedDate="46064.380324652775" backgroundQuery="1" createdVersion="8" refreshedVersion="8" minRefreshableVersion="3" recordCount="0" supportSubquery="1" supportAdvancedDrill="1" xr:uid="{BE1E17A9-187F-4710-B77F-40C78CAF3EDB}">
  <cacheSource type="external" connectionId="11"/>
  <cacheFields count="7">
    <cacheField name="[Measures].[TotRev]" caption="TotRev" numFmtId="0" hierarchy="30" level="32767"/>
    <cacheField name="[Measures].[OrderQty]" caption="OrderQty" numFmtId="0" hierarchy="32" level="32767"/>
    <cacheField name="[Measures].[ProductQty]" caption="ProductQty" numFmtId="0" hierarchy="35" level="32767"/>
    <cacheField name="[Dim_Customers].[CustomerName].[CustomerName]" caption="CustomerName" numFmtId="0" hierarchy="2" level="1">
      <sharedItems count="10">
        <s v="Araceli"/>
        <s v="Caroll"/>
        <s v="Charole"/>
        <s v="Genovev"/>
        <s v="Monika"/>
        <s v="Pamelia"/>
        <s v="Robby"/>
        <s v="Syreeta"/>
        <s v="Tangela"/>
        <s v="Theo"/>
      </sharedItems>
    </cacheField>
    <cacheField name="[Dim_Customers].[Country].[Country]" caption="Country" numFmtId="0" hierarchy="5" level="1">
      <sharedItems count="9">
        <s v="India"/>
        <s v="United Kingdom"/>
        <s v="Switzerland"/>
        <s v="Canada"/>
        <s v="Utd.Arab Emir."/>
        <s v="Australia"/>
        <s v="Spain"/>
        <s v="Lithuania"/>
        <s v="Indonesia"/>
      </sharedItems>
    </cacheField>
    <cacheField name="[Measures].[AvgOrderRev]" caption="AvgOrderRev" numFmtId="0" hierarchy="36" level="32767"/>
    <cacheField name="[Dim_Customers].[IndustryType].[IndustryType]" caption="IndustryType" numFmtId="0" hierarchy="3" level="1">
      <sharedItems count="2">
        <s v="Distributor"/>
        <s v="End-User"/>
      </sharedItems>
    </cacheField>
  </cacheFields>
  <cacheHierarchies count="52">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3"/>
      </fieldsUsage>
    </cacheHierarchy>
    <cacheHierarchy uniqueName="[Dim_Customers].[IndustryType]" caption="IndustryType" attribute="1" defaultMemberUniqueName="[Dim_Customers].[IndustryType].[All]" allUniqueName="[Dim_Customers].[IndustryType].[All]" dimensionUniqueName="[Dim_Customers]" displayFolder="" count="2" memberValueDatatype="130" unbalanced="0">
      <fieldsUsage count="2">
        <fieldUsage x="-1"/>
        <fieldUsage x="6"/>
      </fieldsUsage>
    </cacheHierarchy>
    <cacheHierarchy uniqueName="[Dim_Customers].[GEO Region]" caption="GEO Region" attribute="1" defaultMemberUniqueName="[Dim_Customers].[GEO Region].[All]" allUniqueName="[Dim_Customers].[GEO 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4"/>
      </fieldsUsage>
    </cacheHierarchy>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20" unbalanced="0"/>
    <cacheHierarchy uniqueName="[Dim_Orders].[Date]" caption="Date" attribute="1" time="1" defaultMemberUniqueName="[Dim_Orders].[Date].[All]" allUniqueName="[Dim_Orders].[Date].[All]" dimensionUniqueName="[Dim_Orders]" displayFolder="" count="0" memberValueDatatype="7"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0"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SalesSK]" caption="SalesSK" attribute="1" defaultMemberUniqueName="[Fact_Sales].[SalesSK].[All]" allUniqueName="[Fact_Sales].[SalesSK].[All]" dimensionUniqueName="[Fact_Sales]" displayFolder="" count="0" memberValueDatatype="2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Price]" caption="UnitPrice" attribute="1" defaultMemberUniqueName="[Fact_Sales].[UnitPrice].[All]" allUniqueName="[Fact_Sales].[UnitPrice].[All]" dimensionUniqueName="[Fact_Sales]" displayFolder="" count="0" memberValueDatatype="5" unbalanced="0"/>
    <cacheHierarchy uniqueName="[Measures].[TotRev]" caption="TotRev" measure="1" displayFolder="" measureGroup="Fact_Sales" count="0" oneField="1">
      <fieldsUsage count="1">
        <fieldUsage x="0"/>
      </fieldsUsage>
    </cacheHierarchy>
    <cacheHierarchy uniqueName="[Measures].[AvgRev]" caption="AvgRev" measure="1" displayFolder="" measureGroup="Fact_Sales" count="0"/>
    <cacheHierarchy uniqueName="[Measures].[OrderQty]" caption="OrderQty" measure="1" displayFolder="" measureGroup="Fact_Sales" count="0" oneField="1">
      <fieldsUsage count="1">
        <fieldUsage x="1"/>
      </fieldsUsage>
    </cacheHierarchy>
    <cacheHierarchy uniqueName="[Measures].[AvgPrice]" caption="AvgPrice" measure="1" displayFolder="" measureGroup="Fact_Sales" count="0"/>
    <cacheHierarchy uniqueName="[Measures].[NCustomers]" caption="NCustomers" measure="1" displayFolder="" measureGroup="Fact_Sales" count="0"/>
    <cacheHierarchy uniqueName="[Measures].[ProductQty]" caption="ProductQty" measure="1" displayFolder="" measureGroup="Fact_Sales" count="0" oneField="1">
      <fieldsUsage count="1">
        <fieldUsage x="2"/>
      </fieldsUsage>
    </cacheHierarchy>
    <cacheHierarchy uniqueName="[Measures].[AvgOrderRev]" caption="AvgOrderRev" measure="1" displayFolder="" measureGroup="Fact_Sales" count="0" oneField="1">
      <fieldsUsage count="1">
        <fieldUsage x="5"/>
      </fieldsUsage>
    </cacheHierarchy>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Year 2]" caption="Sum of Year 2" measure="1" displayFolder="" measureGroup="Dim_Orders" count="0" hidden="1">
      <extLst>
        <ext xmlns:x15="http://schemas.microsoft.com/office/spreadsheetml/2010/11/main" uri="{B97F6D7D-B522-45F9-BDA1-12C45D357490}">
          <x15:cacheHierarchy aggregatedColumn="13"/>
        </ext>
      </extLst>
    </cacheHierarchy>
    <cacheHierarchy uniqueName="[Measures].[Sum of Quarter]" caption="Sum of Quarter" measure="1" displayFolder="" measureGroup="Dim_Orders" count="0" hidden="1">
      <extLst>
        <ext xmlns:x15="http://schemas.microsoft.com/office/spreadsheetml/2010/11/main" uri="{B97F6D7D-B522-45F9-BDA1-12C45D357490}">
          <x15:cacheHierarchy aggregatedColumn="14"/>
        </ext>
      </extLst>
    </cacheHierarchy>
    <cacheHierarchy uniqueName="[Measures].[Sum of CustomerSK]" caption="Sum of CustomerSK" measure="1" displayFolder="" measureGroup="Dim_Customers" count="0" hidden="1">
      <extLst>
        <ext xmlns:x15="http://schemas.microsoft.com/office/spreadsheetml/2010/11/main" uri="{B97F6D7D-B522-45F9-BDA1-12C45D357490}">
          <x15:cacheHierarchy aggregatedColumn="0"/>
        </ext>
      </extLst>
    </cacheHierarchy>
    <cacheHierarchy uniqueName="[Measures].[Count of IndustryType]" caption="Count of IndustryType" measure="1" displayFolder="" measureGroup="Dim_Customers"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29"/>
        </ext>
      </extLst>
    </cacheHierarchy>
    <cacheHierarchy uniqueName="[Measures].[Average of UnitPrice]" caption="Average of UnitPrice" measure="1" displayFolder="" measureGroup="Fact_Sales" count="0" hidden="1">
      <extLst>
        <ext xmlns:x15="http://schemas.microsoft.com/office/spreadsheetml/2010/11/main" uri="{B97F6D7D-B522-45F9-BDA1-12C45D357490}">
          <x15:cacheHierarchy aggregatedColumn="29"/>
        </ext>
      </extLst>
    </cacheHierarchy>
  </cacheHierarchies>
  <kpis count="0"/>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8">
    <map measureGroup="0" dimension="0"/>
    <map measureGroup="1" dimension="1"/>
    <map measureGroup="2" dimension="2"/>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 Aesa" refreshedDate="46064.452550578702" backgroundQuery="1" createdVersion="8" refreshedVersion="8" minRefreshableVersion="3" recordCount="0" supportSubquery="1" supportAdvancedDrill="1" xr:uid="{BA65A876-B4E8-456F-9751-B0B244E7C088}">
  <cacheSource type="external" connectionId="11"/>
  <cacheFields count="6">
    <cacheField name="[Measures].[TotRev]" caption="TotRev" numFmtId="0" hierarchy="30" level="32767"/>
    <cacheField name="[Measures].[ProductQty]" caption="ProductQty" numFmtId="0" hierarchy="35" level="32767"/>
    <cacheField name="[Dim_Customers].[Country].[Country]" caption="Country" numFmtId="0" hierarchy="5" level="1">
      <sharedItems count="10">
        <s v="Canada"/>
        <s v="India"/>
        <s v="Italy"/>
        <s v="Lithuania"/>
        <s v="South Korea"/>
        <s v="Spain"/>
        <s v="Switzerland"/>
        <s v="Taiwan"/>
        <s v="United Kingdom"/>
        <s v="USA"/>
      </sharedItems>
    </cacheField>
    <cacheField name="[Dim_Products].[ProductName].[ProductName]" caption="ProductName" numFmtId="0" hierarchy="18" level="1">
      <sharedItems count="15">
        <s v="Economic"/>
        <s v="Health 1"/>
        <s v="Health 2"/>
        <s v="Health 3"/>
        <s v="Health special"/>
        <s v="Jewelry 1"/>
        <s v="Jewelry 2"/>
        <s v="Life 1"/>
        <s v="Life 2"/>
        <s v="Life 3"/>
        <s v="Live 1"/>
        <s v="Live 2"/>
        <s v="Major 1"/>
        <s v="Major 2"/>
        <s v="Other"/>
      </sharedItems>
    </cacheField>
    <cacheField name="[Dim_Products].[DivisionName].[DivisionName]" caption="DivisionName" numFmtId="0" hierarchy="20" level="1">
      <sharedItems count="3">
        <s v="Life Insurance"/>
        <s v="Health Insurance"/>
        <s v="Property Insurance"/>
      </sharedItems>
    </cacheField>
    <cacheField name="[Measures].[AvgPrice]" caption="AvgPrice" numFmtId="0" hierarchy="33" level="32767"/>
  </cacheFields>
  <cacheHierarchies count="52">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GEO Region]" caption="GEO Region" attribute="1" defaultMemberUniqueName="[Dim_Customers].[GEO Region].[All]" allUniqueName="[Dim_Customers].[GEO 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2"/>
      </fieldsUsage>
    </cacheHierarchy>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20" unbalanced="0"/>
    <cacheHierarchy uniqueName="[Dim_Orders].[Date]" caption="Date" attribute="1" time="1" defaultMemberUniqueName="[Dim_Orders].[Date].[All]" allUniqueName="[Dim_Orders].[Date].[All]" dimensionUniqueName="[Dim_Orders]" displayFolder="" count="0" memberValueDatatype="7"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3"/>
      </fieldsUsage>
    </cacheHierarchy>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4"/>
      </fieldsUsage>
    </cacheHierarchy>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SalesSK]" caption="SalesSK" attribute="1" defaultMemberUniqueName="[Fact_Sales].[SalesSK].[All]" allUniqueName="[Fact_Sales].[SalesSK].[All]" dimensionUniqueName="[Fact_Sales]" displayFolder="" count="0" memberValueDatatype="2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Price]" caption="UnitPrice" attribute="1" defaultMemberUniqueName="[Fact_Sales].[UnitPrice].[All]" allUniqueName="[Fact_Sales].[UnitPrice].[All]" dimensionUniqueName="[Fact_Sales]" displayFolder="" count="0" memberValueDatatype="5" unbalanced="0"/>
    <cacheHierarchy uniqueName="[Measures].[TotRev]" caption="TotRev" measure="1" displayFolder="" measureGroup="Fact_Sales" count="0" oneField="1">
      <fieldsUsage count="1">
        <fieldUsage x="0"/>
      </fieldsUsage>
    </cacheHierarchy>
    <cacheHierarchy uniqueName="[Measures].[AvgRev]" caption="AvgRev" measure="1" displayFolder="" measureGroup="Fact_Sales" count="0"/>
    <cacheHierarchy uniqueName="[Measures].[OrderQty]" caption="OrderQty" measure="1" displayFolder="" measureGroup="Fact_Sales" count="0"/>
    <cacheHierarchy uniqueName="[Measures].[AvgPrice]" caption="AvgPrice" measure="1" displayFolder="" measureGroup="Fact_Sales" count="0" oneField="1">
      <fieldsUsage count="1">
        <fieldUsage x="5"/>
      </fieldsUsage>
    </cacheHierarchy>
    <cacheHierarchy uniqueName="[Measures].[NCustomers]" caption="NCustomers" measure="1" displayFolder="" measureGroup="Fact_Sales" count="0"/>
    <cacheHierarchy uniqueName="[Measures].[ProductQty]" caption="ProductQty" measure="1" displayFolder="" measureGroup="Fact_Sales" count="0" oneField="1">
      <fieldsUsage count="1">
        <fieldUsage x="1"/>
      </fieldsUsage>
    </cacheHierarchy>
    <cacheHierarchy uniqueName="[Measures].[AvgOrderRev]" caption="AvgOrderRev"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Year 2]" caption="Sum of Year 2" measure="1" displayFolder="" measureGroup="Dim_Orders" count="0" hidden="1">
      <extLst>
        <ext xmlns:x15="http://schemas.microsoft.com/office/spreadsheetml/2010/11/main" uri="{B97F6D7D-B522-45F9-BDA1-12C45D357490}">
          <x15:cacheHierarchy aggregatedColumn="13"/>
        </ext>
      </extLst>
    </cacheHierarchy>
    <cacheHierarchy uniqueName="[Measures].[Sum of Quarter]" caption="Sum of Quarter" measure="1" displayFolder="" measureGroup="Dim_Orders" count="0" hidden="1">
      <extLst>
        <ext xmlns:x15="http://schemas.microsoft.com/office/spreadsheetml/2010/11/main" uri="{B97F6D7D-B522-45F9-BDA1-12C45D357490}">
          <x15:cacheHierarchy aggregatedColumn="14"/>
        </ext>
      </extLst>
    </cacheHierarchy>
    <cacheHierarchy uniqueName="[Measures].[Sum of CustomerSK]" caption="Sum of CustomerSK" measure="1" displayFolder="" measureGroup="Dim_Customers" count="0" hidden="1">
      <extLst>
        <ext xmlns:x15="http://schemas.microsoft.com/office/spreadsheetml/2010/11/main" uri="{B97F6D7D-B522-45F9-BDA1-12C45D357490}">
          <x15:cacheHierarchy aggregatedColumn="0"/>
        </ext>
      </extLst>
    </cacheHierarchy>
    <cacheHierarchy uniqueName="[Measures].[Count of IndustryType]" caption="Count of IndustryType" measure="1" displayFolder="" measureGroup="Dim_Customers"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29"/>
        </ext>
      </extLst>
    </cacheHierarchy>
    <cacheHierarchy uniqueName="[Measures].[Average of UnitPrice]" caption="Average of UnitPrice" measure="1" displayFolder="" measureGroup="Fact_Sales" count="0" hidden="1">
      <extLst>
        <ext xmlns:x15="http://schemas.microsoft.com/office/spreadsheetml/2010/11/main" uri="{B97F6D7D-B522-45F9-BDA1-12C45D357490}">
          <x15:cacheHierarchy aggregatedColumn="29"/>
        </ext>
      </extLst>
    </cacheHierarchy>
  </cacheHierarchies>
  <kpis count="0"/>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8">
    <map measureGroup="0" dimension="0"/>
    <map measureGroup="1" dimension="1"/>
    <map measureGroup="2" dimension="2"/>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 Aesa" refreshedDate="46071.866095370373" backgroundQuery="1" createdVersion="8" refreshedVersion="8" minRefreshableVersion="3" recordCount="0" supportSubquery="1" supportAdvancedDrill="1" xr:uid="{77136E26-E12D-4347-8E55-FA303874D2FB}">
  <cacheSource type="external" connectionId="11"/>
  <cacheFields count="7">
    <cacheField name="[Measures].[TotRev]" caption="TotRev" numFmtId="0" hierarchy="30" level="32767"/>
    <cacheField name="[Measures].[Sum of Quantity]" caption="Sum of Quantity" numFmtId="0" hierarchy="45" level="32767"/>
    <cacheField name="[Measures].[AvgOrderRev]" caption="AvgOrderRev" numFmtId="0" hierarchy="36" level="32767"/>
    <cacheField name="[Measures].[NCustomers]" caption="NCustomers" numFmtId="0" hierarchy="34" level="32767"/>
    <cacheField name="[Dim_Orders].[Date].[Date]" caption="Date" numFmtId="0" hierarchy="15" level="1">
      <sharedItems containsSemiMixedTypes="0" containsNonDate="0" containsString="0"/>
    </cacheField>
    <cacheField name="[Measures].[OrderQty]" caption="OrderQty" numFmtId="0" hierarchy="32" level="32767"/>
    <cacheField name="[Dim_Date].[Year].[Year]" caption="Year" numFmtId="0" hierarchy="8" level="1">
      <sharedItems containsSemiMixedTypes="0" containsNonDate="0" containsString="0"/>
    </cacheField>
  </cacheFields>
  <cacheHierarchies count="52">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GEO Region]" caption="GEO Region" attribute="1" defaultMemberUniqueName="[Dim_Customers].[GEO Region].[All]" allUniqueName="[Dim_Customers].[GEO 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6"/>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20" unbalanced="0"/>
    <cacheHierarchy uniqueName="[Dim_Orders].[Date]" caption="Date" attribute="1" time="1" defaultMemberUniqueName="[Dim_Orders].[Date].[All]" allUniqueName="[Dim_Orders].[Date].[All]" dimensionUniqueName="[Dim_Orders]" displayFolder="" count="2" memberValueDatatype="7" unbalanced="0">
      <fieldsUsage count="2">
        <fieldUsage x="-1"/>
        <fieldUsage x="4"/>
      </fieldsUsage>
    </cacheHierarchy>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SalesSK]" caption="SalesSK" attribute="1" defaultMemberUniqueName="[Fact_Sales].[SalesSK].[All]" allUniqueName="[Fact_Sales].[SalesSK].[All]" dimensionUniqueName="[Fact_Sales]" displayFolder="" count="0" memberValueDatatype="2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Price]" caption="UnitPrice" attribute="1" defaultMemberUniqueName="[Fact_Sales].[UnitPrice].[All]" allUniqueName="[Fact_Sales].[UnitPrice].[All]" dimensionUniqueName="[Fact_Sales]" displayFolder="" count="0" memberValueDatatype="5" unbalanced="0"/>
    <cacheHierarchy uniqueName="[Measures].[TotRev]" caption="TotRev" measure="1" displayFolder="" measureGroup="Fact_Sales" count="0" oneField="1">
      <fieldsUsage count="1">
        <fieldUsage x="0"/>
      </fieldsUsage>
    </cacheHierarchy>
    <cacheHierarchy uniqueName="[Measures].[AvgRev]" caption="AvgRev" measure="1" displayFolder="" measureGroup="Fact_Sales" count="0"/>
    <cacheHierarchy uniqueName="[Measures].[OrderQty]" caption="OrderQty" measure="1" displayFolder="" measureGroup="Fact_Sales" count="0" oneField="1">
      <fieldsUsage count="1">
        <fieldUsage x="5"/>
      </fieldsUsage>
    </cacheHierarchy>
    <cacheHierarchy uniqueName="[Measures].[AvgPrice]" caption="AvgPrice" measure="1" displayFolder="" measureGroup="Fact_Sales" count="0"/>
    <cacheHierarchy uniqueName="[Measures].[NCustomers]" caption="NCustomers" measure="1" displayFolder="" measureGroup="Fact_Sales" count="0" oneField="1">
      <fieldsUsage count="1">
        <fieldUsage x="3"/>
      </fieldsUsage>
    </cacheHierarchy>
    <cacheHierarchy uniqueName="[Measures].[ProductQty]" caption="ProductQty" measure="1" displayFolder="" measureGroup="Fact_Sales" count="0"/>
    <cacheHierarchy uniqueName="[Measures].[AvgOrderRev]" caption="AvgOrderRev" measure="1" displayFolder="" measureGroup="Fact_Sales" count="0" oneField="1">
      <fieldsUsage count="1">
        <fieldUsage x="2"/>
      </fieldsUsage>
    </cacheHierarchy>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Year 2]" caption="Sum of Year 2" measure="1" displayFolder="" measureGroup="Dim_Orders" count="0" hidden="1">
      <extLst>
        <ext xmlns:x15="http://schemas.microsoft.com/office/spreadsheetml/2010/11/main" uri="{B97F6D7D-B522-45F9-BDA1-12C45D357490}">
          <x15:cacheHierarchy aggregatedColumn="13"/>
        </ext>
      </extLst>
    </cacheHierarchy>
    <cacheHierarchy uniqueName="[Measures].[Sum of Quarter]" caption="Sum of Quarter" measure="1" displayFolder="" measureGroup="Dim_Orders" count="0" hidden="1">
      <extLst>
        <ext xmlns:x15="http://schemas.microsoft.com/office/spreadsheetml/2010/11/main" uri="{B97F6D7D-B522-45F9-BDA1-12C45D357490}">
          <x15:cacheHierarchy aggregatedColumn="14"/>
        </ext>
      </extLst>
    </cacheHierarchy>
    <cacheHierarchy uniqueName="[Measures].[Sum of CustomerSK]" caption="Sum of CustomerSK" measure="1" displayFolder="" measureGroup="Dim_Customers" count="0" hidden="1">
      <extLst>
        <ext xmlns:x15="http://schemas.microsoft.com/office/spreadsheetml/2010/11/main" uri="{B97F6D7D-B522-45F9-BDA1-12C45D357490}">
          <x15:cacheHierarchy aggregatedColumn="0"/>
        </ext>
      </extLst>
    </cacheHierarchy>
    <cacheHierarchy uniqueName="[Measures].[Count of IndustryType]" caption="Count of IndustryType" measure="1" displayFolder="" measureGroup="Dim_Customers"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29"/>
        </ext>
      </extLst>
    </cacheHierarchy>
    <cacheHierarchy uniqueName="[Measures].[Average of UnitPrice]" caption="Average of UnitPrice" measure="1" displayFolder="" measureGroup="Fact_Sales" count="0" hidden="1">
      <extLst>
        <ext xmlns:x15="http://schemas.microsoft.com/office/spreadsheetml/2010/11/main" uri="{B97F6D7D-B522-45F9-BDA1-12C45D357490}">
          <x15:cacheHierarchy aggregatedColumn="29"/>
        </ext>
      </extLst>
    </cacheHierarchy>
  </cacheHierarchies>
  <kpis count="0"/>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8">
    <map measureGroup="0" dimension="0"/>
    <map measureGroup="1" dimension="1"/>
    <map measureGroup="2" dimension="2"/>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 Aesa" refreshedDate="46063.581182407404" backgroundQuery="1" createdVersion="3" refreshedVersion="8" minRefreshableVersion="3" recordCount="0" supportSubquery="1" supportAdvancedDrill="1" xr:uid="{13879759-EEDE-4E91-88C7-D3617015EFA6}">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GEO Region]" caption="GEO Region" attribute="1" defaultMemberUniqueName="[Dim_Customers].[GEO Region].[All]" allUniqueName="[Dim_Customers].[GEO 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20" unbalanced="0"/>
    <cacheHierarchy uniqueName="[Dim_Orders].[Date]" caption="Date" attribute="1" time="1" defaultMemberUniqueName="[Dim_Orders].[Date].[All]" allUniqueName="[Dim_Orders].[Date].[All]" dimensionUniqueName="[Dim_Orders]" displayFolder="" count="0" memberValueDatatype="7"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SalesSK]" caption="SalesSK" attribute="1" defaultMemberUniqueName="[Fact_Sales].[SalesSK].[All]" allUniqueName="[Fact_Sales].[SalesSK].[All]" dimensionUniqueName="[Fact_Sales]" displayFolder="" count="0" memberValueDatatype="2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Price]" caption="UnitPrice" attribute="1" defaultMemberUniqueName="[Fact_Sales].[UnitPrice].[All]" allUniqueName="[Fact_Sales].[UnitPrice].[All]" dimensionUniqueName="[Fact_Sales]" displayFolder="" count="0" memberValueDatatype="5" unbalanced="0"/>
    <cacheHierarchy uniqueName="[Measures].[TotRev]" caption="TotRev" measure="1" displayFolder="" measureGroup="Fact_Sales" count="0"/>
    <cacheHierarchy uniqueName="[Measures].[AvgRev]" caption="AvgRev" measure="1" displayFolder="" measureGroup="Fact_Sales" count="0"/>
    <cacheHierarchy uniqueName="[Measures].[OrderQty]" caption="OrderQty" measure="1" displayFolder="" measureGroup="Fact_Sales" count="0"/>
    <cacheHierarchy uniqueName="[Measures].[AvgPrice]" caption="AvgPrice" measure="1" displayFolder="" measureGroup="Fact_Sales" count="0"/>
    <cacheHierarchy uniqueName="[Measures].[NCustomers]" caption="NCustomers" measure="1" displayFolder="" measureGroup="Fact_Sales" count="0"/>
    <cacheHierarchy uniqueName="[Measures].[ProductQty]" caption="ProductQty" measure="1" displayFolder="" measureGroup="Fact_Sales" count="0"/>
    <cacheHierarchy uniqueName="[Measures].[AvgOrderRev]" caption="AvgOrderRev"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Year 2]" caption="Sum of Year 2" measure="1" displayFolder="" measureGroup="Dim_Orders" count="0" hidden="1">
      <extLst>
        <ext xmlns:x15="http://schemas.microsoft.com/office/spreadsheetml/2010/11/main" uri="{B97F6D7D-B522-45F9-BDA1-12C45D357490}">
          <x15:cacheHierarchy aggregatedColumn="13"/>
        </ext>
      </extLst>
    </cacheHierarchy>
    <cacheHierarchy uniqueName="[Measures].[Sum of Quarter]" caption="Sum of Quarter" measure="1" displayFolder="" measureGroup="Dim_Orders" count="0" hidden="1">
      <extLst>
        <ext xmlns:x15="http://schemas.microsoft.com/office/spreadsheetml/2010/11/main" uri="{B97F6D7D-B522-45F9-BDA1-12C45D357490}">
          <x15:cacheHierarchy aggregatedColumn="14"/>
        </ext>
      </extLst>
    </cacheHierarchy>
    <cacheHierarchy uniqueName="[Measures].[Sum of CustomerSK]" caption="Sum of CustomerSK" measure="1" displayFolder="" measureGroup="Dim_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43356359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 Aesa" refreshedDate="46071.866095717596" backgroundQuery="1" createdVersion="8" refreshedVersion="8" minRefreshableVersion="3" recordCount="0" supportSubquery="1" supportAdvancedDrill="1" xr:uid="{D4D44682-72E8-445A-8AB8-BB1ECC509E16}">
  <cacheSource type="external" connectionId="11">
    <extLst>
      <ext xmlns:x14="http://schemas.microsoft.com/office/spreadsheetml/2009/9/main" uri="{F057638F-6D5F-4e77-A914-E7F072B9BCA8}">
        <x14:sourceConnection name="ThisWorkbookDataModel"/>
      </ext>
    </extLst>
  </cacheSource>
  <cacheFields count="3">
    <cacheField name="[Measures].[TotRev]" caption="TotRev" numFmtId="0" hierarchy="30" level="32767"/>
    <cacheField name="[Dim_Date].[Year].[Year]" caption="Year" numFmtId="0" hierarchy="8" level="1">
      <sharedItems containsSemiMixedTypes="0" containsString="0" containsNumber="1" containsInteger="1" minValue="2011" maxValue="2013" count="3">
        <n v="2011"/>
        <n v="2012"/>
        <n v="2013"/>
      </sharedItems>
      <extLst>
        <ext xmlns:x15="http://schemas.microsoft.com/office/spreadsheetml/2010/11/main" uri="{4F2E5C28-24EA-4eb8-9CBF-B6C8F9C3D259}">
          <x15:cachedUniqueNames>
            <x15:cachedUniqueName index="0" name="[Dim_Date].[Year].&amp;[2011]"/>
            <x15:cachedUniqueName index="1" name="[Dim_Date].[Year].&amp;[2012]"/>
            <x15:cachedUniqueName index="2" name="[Dim_Date].[Year].&amp;[2013]"/>
          </x15:cachedUniqueNames>
        </ext>
      </extLst>
    </cacheField>
    <cacheField name="[Dim_Date].[Quarter].[Quarter]" caption="Quarter" numFmtId="0" hierarchy="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_Date].[Quarter].&amp;[1]"/>
            <x15:cachedUniqueName index="1" name="[Dim_Date].[Quarter].&amp;[2]"/>
            <x15:cachedUniqueName index="2" name="[Dim_Date].[Quarter].&amp;[3]"/>
            <x15:cachedUniqueName index="3" name="[Dim_Date].[Quarter].&amp;[4]"/>
          </x15:cachedUniqueNames>
        </ext>
      </extLst>
    </cacheField>
  </cacheFields>
  <cacheHierarchies count="52">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GEO Region]" caption="GEO Region" attribute="1" defaultMemberUniqueName="[Dim_Customers].[GEO Region].[All]" allUniqueName="[Dim_Customers].[GEO 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2" memberValueDatatype="20" unbalanced="0">
      <fieldsUsage count="2">
        <fieldUsage x="-1"/>
        <fieldUsage x="2"/>
      </fieldsUsage>
    </cacheHierarchy>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20" unbalanced="0"/>
    <cacheHierarchy uniqueName="[Dim_Orders].[Date]" caption="Date" attribute="1" time="1" defaultMemberUniqueName="[Dim_Orders].[Date].[All]" allUniqueName="[Dim_Orders].[Date].[All]" dimensionUniqueName="[Dim_Orders]" displayFolder="" count="0" memberValueDatatype="7"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SalesSK]" caption="SalesSK" attribute="1" defaultMemberUniqueName="[Fact_Sales].[SalesSK].[All]" allUniqueName="[Fact_Sales].[SalesSK].[All]" dimensionUniqueName="[Fact_Sales]" displayFolder="" count="0" memberValueDatatype="2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Price]" caption="UnitPrice" attribute="1" defaultMemberUniqueName="[Fact_Sales].[UnitPrice].[All]" allUniqueName="[Fact_Sales].[UnitPrice].[All]" dimensionUniqueName="[Fact_Sales]" displayFolder="" count="0" memberValueDatatype="5" unbalanced="0"/>
    <cacheHierarchy uniqueName="[Measures].[TotRev]" caption="TotRev" measure="1" displayFolder="" measureGroup="Fact_Sales" count="0" oneField="1">
      <fieldsUsage count="1">
        <fieldUsage x="0"/>
      </fieldsUsage>
    </cacheHierarchy>
    <cacheHierarchy uniqueName="[Measures].[AvgRev]" caption="AvgRev" measure="1" displayFolder="" measureGroup="Fact_Sales" count="0"/>
    <cacheHierarchy uniqueName="[Measures].[OrderQty]" caption="OrderQty" measure="1" displayFolder="" measureGroup="Fact_Sales" count="0"/>
    <cacheHierarchy uniqueName="[Measures].[AvgPrice]" caption="AvgPrice" measure="1" displayFolder="" measureGroup="Fact_Sales" count="0"/>
    <cacheHierarchy uniqueName="[Measures].[NCustomers]" caption="NCustomers" measure="1" displayFolder="" measureGroup="Fact_Sales" count="0"/>
    <cacheHierarchy uniqueName="[Measures].[ProductQty]" caption="ProductQty" measure="1" displayFolder="" measureGroup="Fact_Sales" count="0"/>
    <cacheHierarchy uniqueName="[Measures].[AvgOrderRev]" caption="AvgOrderRev"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Year 2]" caption="Sum of Year 2" measure="1" displayFolder="" measureGroup="Dim_Orders" count="0" hidden="1">
      <extLst>
        <ext xmlns:x15="http://schemas.microsoft.com/office/spreadsheetml/2010/11/main" uri="{B97F6D7D-B522-45F9-BDA1-12C45D357490}">
          <x15:cacheHierarchy aggregatedColumn="13"/>
        </ext>
      </extLst>
    </cacheHierarchy>
    <cacheHierarchy uniqueName="[Measures].[Sum of Quarter]" caption="Sum of Quarter" measure="1" displayFolder="" measureGroup="Dim_Orders" count="0" hidden="1">
      <extLst>
        <ext xmlns:x15="http://schemas.microsoft.com/office/spreadsheetml/2010/11/main" uri="{B97F6D7D-B522-45F9-BDA1-12C45D357490}">
          <x15:cacheHierarchy aggregatedColumn="14"/>
        </ext>
      </extLst>
    </cacheHierarchy>
    <cacheHierarchy uniqueName="[Measures].[Sum of CustomerSK]" caption="Sum of CustomerSK" measure="1" displayFolder="" measureGroup="Dim_Customers" count="0" hidden="1">
      <extLst>
        <ext xmlns:x15="http://schemas.microsoft.com/office/spreadsheetml/2010/11/main" uri="{B97F6D7D-B522-45F9-BDA1-12C45D357490}">
          <x15:cacheHierarchy aggregatedColumn="0"/>
        </ext>
      </extLst>
    </cacheHierarchy>
    <cacheHierarchy uniqueName="[Measures].[Count of IndustryType]" caption="Count of IndustryType" measure="1" displayFolder="" measureGroup="Dim_Customers"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29"/>
        </ext>
      </extLst>
    </cacheHierarchy>
    <cacheHierarchy uniqueName="[Measures].[Average of UnitPrice]" caption="Average of UnitPrice" measure="1" displayFolder="" measureGroup="Fact_Sales" count="0" hidden="1">
      <extLst>
        <ext xmlns:x15="http://schemas.microsoft.com/office/spreadsheetml/2010/11/main" uri="{B97F6D7D-B522-45F9-BDA1-12C45D357490}">
          <x15:cacheHierarchy aggregatedColumn="29"/>
        </ext>
      </extLst>
    </cacheHierarchy>
  </cacheHierarchies>
  <kpis count="0"/>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8">
    <map measureGroup="0" dimension="0"/>
    <map measureGroup="1" dimension="1"/>
    <map measureGroup="2" dimension="2"/>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pivotCacheId="15560576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 Aesa" refreshedDate="46071.866096064812" backgroundQuery="1" createdVersion="8" refreshedVersion="8" minRefreshableVersion="3" recordCount="0" supportSubquery="1" supportAdvancedDrill="1" xr:uid="{E8E90F2D-63AC-4BC4-A813-C5CCF493D04D}">
  <cacheSource type="external" connectionId="11">
    <extLst>
      <ext xmlns:x14="http://schemas.microsoft.com/office/spreadsheetml/2009/9/main" uri="{F057638F-6D5F-4e77-A914-E7F072B9BCA8}">
        <x14:sourceConnection name="ThisWorkbookDataModel"/>
      </ext>
    </extLst>
  </cacheSource>
  <cacheFields count="3">
    <cacheField name="[Dim_Products].[ProductName].[ProductName]" caption="ProductName" numFmtId="0" hierarchy="18" level="1">
      <sharedItems count="5">
        <s v="Economic"/>
        <s v="Health 1"/>
        <s v="Life 1"/>
        <s v="Life 2"/>
        <s v="Life 3"/>
      </sharedItems>
    </cacheField>
    <cacheField name="[Measures].[TotRev]" caption="TotRev" numFmtId="0" hierarchy="30" level="32767"/>
    <cacheField name="[Dim_Date].[Year].[Year]" caption="Year" numFmtId="0" hierarchy="8" level="1">
      <sharedItems containsSemiMixedTypes="0" containsNonDate="0" containsString="0"/>
    </cacheField>
  </cacheFields>
  <cacheHierarchies count="52">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GEO Region]" caption="GEO Region" attribute="1" defaultMemberUniqueName="[Dim_Customers].[GEO Region].[All]" allUniqueName="[Dim_Customers].[GEO 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20" unbalanced="0"/>
    <cacheHierarchy uniqueName="[Dim_Orders].[Date]" caption="Date" attribute="1" time="1" defaultMemberUniqueName="[Dim_Orders].[Date].[All]" allUniqueName="[Dim_Orders].[Date].[All]" dimensionUniqueName="[Dim_Orders]" displayFolder="" count="0" memberValueDatatype="7"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0"/>
      </fieldsUsage>
    </cacheHierarchy>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SalesSK]" caption="SalesSK" attribute="1" defaultMemberUniqueName="[Fact_Sales].[SalesSK].[All]" allUniqueName="[Fact_Sales].[SalesSK].[All]" dimensionUniqueName="[Fact_Sales]" displayFolder="" count="0" memberValueDatatype="2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Price]" caption="UnitPrice" attribute="1" defaultMemberUniqueName="[Fact_Sales].[UnitPrice].[All]" allUniqueName="[Fact_Sales].[UnitPrice].[All]" dimensionUniqueName="[Fact_Sales]" displayFolder="" count="0" memberValueDatatype="5" unbalanced="0"/>
    <cacheHierarchy uniqueName="[Measures].[TotRev]" caption="TotRev" measure="1" displayFolder="" measureGroup="Fact_Sales" count="0" oneField="1">
      <fieldsUsage count="1">
        <fieldUsage x="1"/>
      </fieldsUsage>
    </cacheHierarchy>
    <cacheHierarchy uniqueName="[Measures].[AvgRev]" caption="AvgRev" measure="1" displayFolder="" measureGroup="Fact_Sales" count="0"/>
    <cacheHierarchy uniqueName="[Measures].[OrderQty]" caption="OrderQty" measure="1" displayFolder="" measureGroup="Fact_Sales" count="0"/>
    <cacheHierarchy uniqueName="[Measures].[AvgPrice]" caption="AvgPrice" measure="1" displayFolder="" measureGroup="Fact_Sales" count="0"/>
    <cacheHierarchy uniqueName="[Measures].[NCustomers]" caption="NCustomers" measure="1" displayFolder="" measureGroup="Fact_Sales" count="0"/>
    <cacheHierarchy uniqueName="[Measures].[ProductQty]" caption="ProductQty" measure="1" displayFolder="" measureGroup="Fact_Sales" count="0"/>
    <cacheHierarchy uniqueName="[Measures].[AvgOrderRev]" caption="AvgOrderRev"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Year 2]" caption="Sum of Year 2" measure="1" displayFolder="" measureGroup="Dim_Orders" count="0" hidden="1">
      <extLst>
        <ext xmlns:x15="http://schemas.microsoft.com/office/spreadsheetml/2010/11/main" uri="{B97F6D7D-B522-45F9-BDA1-12C45D357490}">
          <x15:cacheHierarchy aggregatedColumn="13"/>
        </ext>
      </extLst>
    </cacheHierarchy>
    <cacheHierarchy uniqueName="[Measures].[Sum of Quarter]" caption="Sum of Quarter" measure="1" displayFolder="" measureGroup="Dim_Orders" count="0" hidden="1">
      <extLst>
        <ext xmlns:x15="http://schemas.microsoft.com/office/spreadsheetml/2010/11/main" uri="{B97F6D7D-B522-45F9-BDA1-12C45D357490}">
          <x15:cacheHierarchy aggregatedColumn="14"/>
        </ext>
      </extLst>
    </cacheHierarchy>
    <cacheHierarchy uniqueName="[Measures].[Sum of CustomerSK]" caption="Sum of CustomerSK" measure="1" displayFolder="" measureGroup="Dim_Customers" count="0" hidden="1">
      <extLst>
        <ext xmlns:x15="http://schemas.microsoft.com/office/spreadsheetml/2010/11/main" uri="{B97F6D7D-B522-45F9-BDA1-12C45D357490}">
          <x15:cacheHierarchy aggregatedColumn="0"/>
        </ext>
      </extLst>
    </cacheHierarchy>
    <cacheHierarchy uniqueName="[Measures].[Count of IndustryType]" caption="Count of IndustryType" measure="1" displayFolder="" measureGroup="Dim_Customers"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29"/>
        </ext>
      </extLst>
    </cacheHierarchy>
    <cacheHierarchy uniqueName="[Measures].[Average of UnitPrice]" caption="Average of UnitPrice" measure="1" displayFolder="" measureGroup="Fact_Sales" count="0" hidden="1">
      <extLst>
        <ext xmlns:x15="http://schemas.microsoft.com/office/spreadsheetml/2010/11/main" uri="{B97F6D7D-B522-45F9-BDA1-12C45D357490}">
          <x15:cacheHierarchy aggregatedColumn="29"/>
        </ext>
      </extLst>
    </cacheHierarchy>
  </cacheHierarchies>
  <kpis count="0"/>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8">
    <map measureGroup="0" dimension="0"/>
    <map measureGroup="1" dimension="1"/>
    <map measureGroup="2" dimension="2"/>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pivotCacheId="4141489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 Aesa" refreshedDate="46071.866096412035" backgroundQuery="1" createdVersion="8" refreshedVersion="8" minRefreshableVersion="3" recordCount="0" supportSubquery="1" supportAdvancedDrill="1" xr:uid="{5F0BCF0A-88D2-465B-A836-57B88B74D6EB}">
  <cacheSource type="external" connectionId="11">
    <extLst>
      <ext xmlns:x14="http://schemas.microsoft.com/office/spreadsheetml/2009/9/main" uri="{F057638F-6D5F-4e77-A914-E7F072B9BCA8}">
        <x14:sourceConnection name="ThisWorkbookDataModel"/>
      </ext>
    </extLst>
  </cacheSource>
  <cacheFields count="3">
    <cacheField name="[Dim_Products].[DivisionName].[DivisionName]" caption="DivisionName" numFmtId="0" hierarchy="20" level="1">
      <sharedItems count="3">
        <s v="Health Insurance"/>
        <s v="Life Insurance"/>
        <s v="Property Insurance"/>
      </sharedItems>
    </cacheField>
    <cacheField name="[Measures].[TotRev]" caption="TotRev" numFmtId="0" hierarchy="30" level="32767"/>
    <cacheField name="[Dim_Date].[Year].[Year]" caption="Year" numFmtId="0" hierarchy="8" level="1">
      <sharedItems containsSemiMixedTypes="0" containsNonDate="0" containsString="0"/>
    </cacheField>
  </cacheFields>
  <cacheHierarchies count="52">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GEO Region]" caption="GEO Region" attribute="1" defaultMemberUniqueName="[Dim_Customers].[GEO Region].[All]" allUniqueName="[Dim_Customers].[GEO 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20" unbalanced="0"/>
    <cacheHierarchy uniqueName="[Dim_Orders].[Date]" caption="Date" attribute="1" time="1" defaultMemberUniqueName="[Dim_Orders].[Date].[All]" allUniqueName="[Dim_Orders].[Date].[All]" dimensionUniqueName="[Dim_Orders]" displayFolder="" count="0" memberValueDatatype="7"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fieldsUsage count="2">
        <fieldUsage x="-1"/>
        <fieldUsage x="0"/>
      </fieldsUsage>
    </cacheHierarchy>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SalesSK]" caption="SalesSK" attribute="1" defaultMemberUniqueName="[Fact_Sales].[SalesSK].[All]" allUniqueName="[Fact_Sales].[SalesSK].[All]" dimensionUniqueName="[Fact_Sales]" displayFolder="" count="0" memberValueDatatype="2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Price]" caption="UnitPrice" attribute="1" defaultMemberUniqueName="[Fact_Sales].[UnitPrice].[All]" allUniqueName="[Fact_Sales].[UnitPrice].[All]" dimensionUniqueName="[Fact_Sales]" displayFolder="" count="0" memberValueDatatype="5" unbalanced="0"/>
    <cacheHierarchy uniqueName="[Measures].[TotRev]" caption="TotRev" measure="1" displayFolder="" measureGroup="Fact_Sales" count="0" oneField="1">
      <fieldsUsage count="1">
        <fieldUsage x="1"/>
      </fieldsUsage>
    </cacheHierarchy>
    <cacheHierarchy uniqueName="[Measures].[AvgRev]" caption="AvgRev" measure="1" displayFolder="" measureGroup="Fact_Sales" count="0"/>
    <cacheHierarchy uniqueName="[Measures].[OrderQty]" caption="OrderQty" measure="1" displayFolder="" measureGroup="Fact_Sales" count="0"/>
    <cacheHierarchy uniqueName="[Measures].[AvgPrice]" caption="AvgPrice" measure="1" displayFolder="" measureGroup="Fact_Sales" count="0"/>
    <cacheHierarchy uniqueName="[Measures].[NCustomers]" caption="NCustomers" measure="1" displayFolder="" measureGroup="Fact_Sales" count="0"/>
    <cacheHierarchy uniqueName="[Measures].[ProductQty]" caption="ProductQty" measure="1" displayFolder="" measureGroup="Fact_Sales" count="0"/>
    <cacheHierarchy uniqueName="[Measures].[AvgOrderRev]" caption="AvgOrderRev"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Year 2]" caption="Sum of Year 2" measure="1" displayFolder="" measureGroup="Dim_Orders" count="0" hidden="1">
      <extLst>
        <ext xmlns:x15="http://schemas.microsoft.com/office/spreadsheetml/2010/11/main" uri="{B97F6D7D-B522-45F9-BDA1-12C45D357490}">
          <x15:cacheHierarchy aggregatedColumn="13"/>
        </ext>
      </extLst>
    </cacheHierarchy>
    <cacheHierarchy uniqueName="[Measures].[Sum of Quarter]" caption="Sum of Quarter" measure="1" displayFolder="" measureGroup="Dim_Orders" count="0" hidden="1">
      <extLst>
        <ext xmlns:x15="http://schemas.microsoft.com/office/spreadsheetml/2010/11/main" uri="{B97F6D7D-B522-45F9-BDA1-12C45D357490}">
          <x15:cacheHierarchy aggregatedColumn="14"/>
        </ext>
      </extLst>
    </cacheHierarchy>
    <cacheHierarchy uniqueName="[Measures].[Sum of CustomerSK]" caption="Sum of CustomerSK" measure="1" displayFolder="" measureGroup="Dim_Customers" count="0" hidden="1">
      <extLst>
        <ext xmlns:x15="http://schemas.microsoft.com/office/spreadsheetml/2010/11/main" uri="{B97F6D7D-B522-45F9-BDA1-12C45D357490}">
          <x15:cacheHierarchy aggregatedColumn="0"/>
        </ext>
      </extLst>
    </cacheHierarchy>
    <cacheHierarchy uniqueName="[Measures].[Count of IndustryType]" caption="Count of IndustryType" measure="1" displayFolder="" measureGroup="Dim_Customers"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29"/>
        </ext>
      </extLst>
    </cacheHierarchy>
    <cacheHierarchy uniqueName="[Measures].[Average of UnitPrice]" caption="Average of UnitPrice" measure="1" displayFolder="" measureGroup="Fact_Sales" count="0" hidden="1">
      <extLst>
        <ext xmlns:x15="http://schemas.microsoft.com/office/spreadsheetml/2010/11/main" uri="{B97F6D7D-B522-45F9-BDA1-12C45D357490}">
          <x15:cacheHierarchy aggregatedColumn="29"/>
        </ext>
      </extLst>
    </cacheHierarchy>
  </cacheHierarchies>
  <kpis count="0"/>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8">
    <map measureGroup="0" dimension="0"/>
    <map measureGroup="1" dimension="1"/>
    <map measureGroup="2" dimension="2"/>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pivotCacheId="14140079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 Aesa" refreshedDate="46071.866096759259" backgroundQuery="1" createdVersion="8" refreshedVersion="8" minRefreshableVersion="3" recordCount="0" supportSubquery="1" supportAdvancedDrill="1" xr:uid="{2E12BC8D-F1DD-47FB-898D-BF95184C566B}">
  <cacheSource type="external" connectionId="11">
    <extLst>
      <ext xmlns:x14="http://schemas.microsoft.com/office/spreadsheetml/2009/9/main" uri="{F057638F-6D5F-4e77-A914-E7F072B9BCA8}">
        <x14:sourceConnection name="ThisWorkbookDataModel"/>
      </ext>
    </extLst>
  </cacheSource>
  <cacheFields count="3">
    <cacheField name="[Dim_Customers].[IndustryType].[IndustryType]" caption="IndustryType" numFmtId="0" hierarchy="3" level="1">
      <sharedItems count="2">
        <s v="Distributor"/>
        <s v="End-User"/>
      </sharedItems>
    </cacheField>
    <cacheField name="[Measures].[TotRev]" caption="TotRev" numFmtId="0" hierarchy="30" level="32767"/>
    <cacheField name="[Dim_Date].[Year].[Year]" caption="Year" numFmtId="0" hierarchy="8" level="1">
      <sharedItems containsSemiMixedTypes="0" containsNonDate="0" containsString="0"/>
    </cacheField>
  </cacheFields>
  <cacheHierarchies count="52">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2" memberValueDatatype="130" unbalanced="0">
      <fieldsUsage count="2">
        <fieldUsage x="-1"/>
        <fieldUsage x="0"/>
      </fieldsUsage>
    </cacheHierarchy>
    <cacheHierarchy uniqueName="[Dim_Customers].[GEO Region]" caption="GEO Region" attribute="1" defaultMemberUniqueName="[Dim_Customers].[GEO Region].[All]" allUniqueName="[Dim_Customers].[GEO 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20" unbalanced="0"/>
    <cacheHierarchy uniqueName="[Dim_Orders].[Date]" caption="Date" attribute="1" time="1" defaultMemberUniqueName="[Dim_Orders].[Date].[All]" allUniqueName="[Dim_Orders].[Date].[All]" dimensionUniqueName="[Dim_Orders]" displayFolder="" count="0" memberValueDatatype="7"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SalesSK]" caption="SalesSK" attribute="1" defaultMemberUniqueName="[Fact_Sales].[SalesSK].[All]" allUniqueName="[Fact_Sales].[SalesSK].[All]" dimensionUniqueName="[Fact_Sales]" displayFolder="" count="0" memberValueDatatype="2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Price]" caption="UnitPrice" attribute="1" defaultMemberUniqueName="[Fact_Sales].[UnitPrice].[All]" allUniqueName="[Fact_Sales].[UnitPrice].[All]" dimensionUniqueName="[Fact_Sales]" displayFolder="" count="0" memberValueDatatype="5" unbalanced="0"/>
    <cacheHierarchy uniqueName="[Measures].[TotRev]" caption="TotRev" measure="1" displayFolder="" measureGroup="Fact_Sales" count="0" oneField="1">
      <fieldsUsage count="1">
        <fieldUsage x="1"/>
      </fieldsUsage>
    </cacheHierarchy>
    <cacheHierarchy uniqueName="[Measures].[AvgRev]" caption="AvgRev" measure="1" displayFolder="" measureGroup="Fact_Sales" count="0"/>
    <cacheHierarchy uniqueName="[Measures].[OrderQty]" caption="OrderQty" measure="1" displayFolder="" measureGroup="Fact_Sales" count="0"/>
    <cacheHierarchy uniqueName="[Measures].[AvgPrice]" caption="AvgPrice" measure="1" displayFolder="" measureGroup="Fact_Sales" count="0"/>
    <cacheHierarchy uniqueName="[Measures].[NCustomers]" caption="NCustomers" measure="1" displayFolder="" measureGroup="Fact_Sales" count="0"/>
    <cacheHierarchy uniqueName="[Measures].[ProductQty]" caption="ProductQty" measure="1" displayFolder="" measureGroup="Fact_Sales" count="0"/>
    <cacheHierarchy uniqueName="[Measures].[AvgOrderRev]" caption="AvgOrderRev"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Year 2]" caption="Sum of Year 2" measure="1" displayFolder="" measureGroup="Dim_Orders" count="0" hidden="1">
      <extLst>
        <ext xmlns:x15="http://schemas.microsoft.com/office/spreadsheetml/2010/11/main" uri="{B97F6D7D-B522-45F9-BDA1-12C45D357490}">
          <x15:cacheHierarchy aggregatedColumn="13"/>
        </ext>
      </extLst>
    </cacheHierarchy>
    <cacheHierarchy uniqueName="[Measures].[Sum of Quarter]" caption="Sum of Quarter" measure="1" displayFolder="" measureGroup="Dim_Orders" count="0" hidden="1">
      <extLst>
        <ext xmlns:x15="http://schemas.microsoft.com/office/spreadsheetml/2010/11/main" uri="{B97F6D7D-B522-45F9-BDA1-12C45D357490}">
          <x15:cacheHierarchy aggregatedColumn="14"/>
        </ext>
      </extLst>
    </cacheHierarchy>
    <cacheHierarchy uniqueName="[Measures].[Sum of CustomerSK]" caption="Sum of CustomerSK" measure="1" displayFolder="" measureGroup="Dim_Customers" count="0" hidden="1">
      <extLst>
        <ext xmlns:x15="http://schemas.microsoft.com/office/spreadsheetml/2010/11/main" uri="{B97F6D7D-B522-45F9-BDA1-12C45D357490}">
          <x15:cacheHierarchy aggregatedColumn="0"/>
        </ext>
      </extLst>
    </cacheHierarchy>
    <cacheHierarchy uniqueName="[Measures].[Count of IndustryType]" caption="Count of IndustryType" measure="1" displayFolder="" measureGroup="Dim_Customers"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29"/>
        </ext>
      </extLst>
    </cacheHierarchy>
    <cacheHierarchy uniqueName="[Measures].[Average of UnitPrice]" caption="Average of UnitPrice" measure="1" displayFolder="" measureGroup="Fact_Sales" count="0" hidden="1">
      <extLst>
        <ext xmlns:x15="http://schemas.microsoft.com/office/spreadsheetml/2010/11/main" uri="{B97F6D7D-B522-45F9-BDA1-12C45D357490}">
          <x15:cacheHierarchy aggregatedColumn="29"/>
        </ext>
      </extLst>
    </cacheHierarchy>
  </cacheHierarchies>
  <kpis count="0"/>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8">
    <map measureGroup="0" dimension="0"/>
    <map measureGroup="1" dimension="1"/>
    <map measureGroup="2" dimension="2"/>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pivotCacheId="179884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 Aesa" refreshedDate="46071.866097106482" backgroundQuery="1" createdVersion="8" refreshedVersion="8" minRefreshableVersion="3" recordCount="0" supportSubquery="1" supportAdvancedDrill="1" xr:uid="{ECF100F2-FD21-4F4D-82F7-5CFB41BBD991}">
  <cacheSource type="external" connectionId="11">
    <extLst>
      <ext xmlns:x14="http://schemas.microsoft.com/office/spreadsheetml/2009/9/main" uri="{F057638F-6D5F-4e77-A914-E7F072B9BCA8}">
        <x14:sourceConnection name="ThisWorkbookDataModel"/>
      </ext>
    </extLst>
  </cacheSource>
  <cacheFields count="3">
    <cacheField name="[Measures].[TotRev]" caption="TotRev" numFmtId="0" hierarchy="30" level="32767"/>
    <cacheField name="[Dim_Date].[Year].[Year]" caption="Year" numFmtId="0" hierarchy="8" level="1">
      <sharedItems containsSemiMixedTypes="0" containsString="0" containsNumber="1" containsInteger="1" minValue="2011" maxValue="2013" count="3">
        <n v="2011"/>
        <n v="2012"/>
        <n v="2013"/>
      </sharedItems>
      <extLst>
        <ext xmlns:x15="http://schemas.microsoft.com/office/spreadsheetml/2010/11/main" uri="{4F2E5C28-24EA-4eb8-9CBF-B6C8F9C3D259}">
          <x15:cachedUniqueNames>
            <x15:cachedUniqueName index="0" name="[Dim_Date].[Year].&amp;[2011]"/>
            <x15:cachedUniqueName index="1" name="[Dim_Date].[Year].&amp;[2012]"/>
            <x15:cachedUniqueName index="2" name="[Dim_Date].[Year].&amp;[2013]"/>
          </x15:cachedUniqueNames>
        </ext>
      </extLst>
    </cacheField>
    <cacheField name="[Measures].[ProductQty]" caption="ProductQty" numFmtId="0" hierarchy="35" level="32767"/>
  </cacheFields>
  <cacheHierarchies count="52">
    <cacheHierarchy uniqueName="[Dim_Customers].[CustomerSK]" caption="CustomerSK" attribute="1" defaultMemberUniqueName="[Dim_Customers].[CustomerSK].[All]" allUniqueName="[Dim_Customers].[CustomerSK].[All]" dimensionUniqueName="[Dim_Customers]" displayFolder="" count="0" memberValueDatatype="20" unbalanced="0"/>
    <cacheHierarchy uniqueName="[Dim_Customers].[CustomerBK]" caption="CustomerBK" attribute="1" defaultMemberUniqueName="[Dim_Customers].[CustomerBK].[All]" allUniqueName="[Dim_Customers].[CustomerBK].[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IndustryType]" caption="IndustryType" attribute="1" defaultMemberUniqueName="[Dim_Customers].[IndustryType].[All]" allUniqueName="[Dim_Customers].[IndustryType].[All]" dimensionUniqueName="[Dim_Customers]" displayFolder="" count="0" memberValueDatatype="130" unbalanced="0"/>
    <cacheHierarchy uniqueName="[Dim_Customers].[GEO Region]" caption="GEO Region" attribute="1" defaultMemberUniqueName="[Dim_Customers].[GEO Region].[All]" allUniqueName="[Dim_Customers].[GEO 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defaultMemberUniqueName="[Dim_Date].[Date].[All]" allUniqueName="[Dim_Date].[Date].[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Orders].[OrderSK]" caption="OrderSK" attribute="1" defaultMemberUniqueName="[Dim_Orders].[OrderSK].[All]" allUniqueName="[Dim_Orders].[OrderSK].[All]" dimensionUniqueName="[Dim_Orders]" displayFolder="" count="0" memberValueDatatype="20" unbalanced="0"/>
    <cacheHierarchy uniqueName="[Dim_Orders].[OrderBK]" caption="OrderBK" attribute="1" defaultMemberUniqueName="[Dim_Orders].[OrderBK].[All]" allUniqueName="[Dim_Orders].[OrderBK].[All]" dimensionUniqueName="[Dim_Orders]" displayFolder="" count="0" memberValueDatatype="20" unbalanced="0"/>
    <cacheHierarchy uniqueName="[Dim_Orders].[CustomerID]" caption="CustomerID" attribute="1" defaultMemberUniqueName="[Dim_Orders].[CustomerID].[All]" allUniqueName="[Dim_Orders].[CustomerID].[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Quarter]" caption="Quarter" attribute="1" defaultMemberUniqueName="[Dim_Orders].[Quarter].[All]" allUniqueName="[Dim_Orders].[Quarter].[All]" dimensionUniqueName="[Dim_Orders]" displayFolder="" count="0" memberValueDatatype="20" unbalanced="0"/>
    <cacheHierarchy uniqueName="[Dim_Orders].[Date]" caption="Date" attribute="1" time="1" defaultMemberUniqueName="[Dim_Orders].[Date].[All]" allUniqueName="[Dim_Orders].[Date].[All]" dimensionUniqueName="[Dim_Orders]" displayFolder="" count="0" memberValueDatatype="7" unbalanced="0"/>
    <cacheHierarchy uniqueName="[Dim_Products].[ProductSK]" caption="ProductSK" attribute="1" defaultMemberUniqueName="[Dim_Products].[ProductSK].[All]" allUniqueName="[Dim_Products].[ProductSK].[All]" dimensionUniqueName="[Dim_Products]" displayFolder="" count="0" memberValueDatatype="20" unbalanced="0"/>
    <cacheHierarchy uniqueName="[Dim_Products].[ProductBK]" caption="ProductBK" attribute="1" defaultMemberUniqueName="[Dim_Products].[ProductBK].[All]" allUniqueName="[Dim_Products].[ProductBK].[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ProductType]" caption="ProductType" attribute="1" defaultMemberUniqueName="[Dim_Products].[ProductType].[All]" allUniqueName="[Dim_Products].[ProductType].[All]" dimensionUniqueName="[Dim_Products]" displayFolder="" count="0" memberValueDatatype="130" unbalanced="0"/>
    <cacheHierarchy uniqueName="[Dim_Products].[DivisionName]" caption="DivisionName" attribute="1" defaultMemberUniqueName="[Dim_Products].[DivisionName].[All]" allUniqueName="[Dim_Products].[DivisionName].[All]" dimensionUniqueName="[Dim_Products]" displayFolder="" count="2" memberValueDatatype="130" unbalanced="0"/>
    <cacheHierarchy uniqueName="[Dim_Products].[SegmentName]" caption="SegmentName" attribute="1" defaultMemberUniqueName="[Dim_Products].[SegmentName].[All]" allUniqueName="[Dim_Products].[SegmentName].[All]" dimensionUniqueName="[Dim_Products]" displayFolder="" count="0" memberValueDatatype="130" unbalanced="0"/>
    <cacheHierarchy uniqueName="[Fact_Sales].[SalesSK]" caption="SalesSK" attribute="1" defaultMemberUniqueName="[Fact_Sales].[SalesSK].[All]" allUniqueName="[Fact_Sales].[SalesSK].[All]" dimensionUniqueName="[Fact_Sales]" displayFolder="" count="0" memberValueDatatype="20" unbalanced="0"/>
    <cacheHierarchy uniqueName="[Fact_Sales].[OrderSK]" caption="OrderSK" attribute="1" defaultMemberUniqueName="[Fact_Sales].[OrderSK].[All]" allUniqueName="[Fact_Sales].[OrderSK].[All]" dimensionUniqueName="[Fact_Sales]" displayFolder="" count="0" memberValueDatatype="20" unbalanced="0"/>
    <cacheHierarchy uniqueName="[Fact_Sales].[ProductSK]" caption="ProductSK" attribute="1" defaultMemberUniqueName="[Fact_Sales].[ProductSK].[All]" allUniqueName="[Fact_Sales].[ProductSK].[All]" dimensionUniqueName="[Fact_Sales]" displayFolder="" count="0" memberValueDatatype="20" unbalanced="0"/>
    <cacheHierarchy uniqueName="[Fact_Sales].[CustomerSK]" caption="CustomerSK" attribute="1" defaultMemberUniqueName="[Fact_Sales].[CustomerSK].[All]" allUniqueName="[Fact_Sales].[CustomerSK].[All]" dimensionUniqueName="[Fact_Sales]" displayFolder="" count="0" memberValueDatatype="20" unbalanced="0"/>
    <cacheHierarchy uniqueName="[Fact_Sales].[DateKey]" caption="DateKey" attribute="1" defaultMemberUniqueName="[Fact_Sales].[DateKey].[All]" allUniqueName="[Fact_Sales].[Date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Price]" caption="UnitPrice" attribute="1" defaultMemberUniqueName="[Fact_Sales].[UnitPrice].[All]" allUniqueName="[Fact_Sales].[UnitPrice].[All]" dimensionUniqueName="[Fact_Sales]" displayFolder="" count="0" memberValueDatatype="5" unbalanced="0"/>
    <cacheHierarchy uniqueName="[Measures].[TotRev]" caption="TotRev" measure="1" displayFolder="" measureGroup="Fact_Sales" count="0" oneField="1">
      <fieldsUsage count="1">
        <fieldUsage x="0"/>
      </fieldsUsage>
    </cacheHierarchy>
    <cacheHierarchy uniqueName="[Measures].[AvgRev]" caption="AvgRev" measure="1" displayFolder="" measureGroup="Fact_Sales" count="0"/>
    <cacheHierarchy uniqueName="[Measures].[OrderQty]" caption="OrderQty" measure="1" displayFolder="" measureGroup="Fact_Sales" count="0"/>
    <cacheHierarchy uniqueName="[Measures].[AvgPrice]" caption="AvgPrice" measure="1" displayFolder="" measureGroup="Fact_Sales" count="0"/>
    <cacheHierarchy uniqueName="[Measures].[NCustomers]" caption="NCustomers" measure="1" displayFolder="" measureGroup="Fact_Sales" count="0"/>
    <cacheHierarchy uniqueName="[Measures].[ProductQty]" caption="ProductQty" measure="1" displayFolder="" measureGroup="Fact_Sales" count="0" oneField="1">
      <fieldsUsage count="1">
        <fieldUsage x="2"/>
      </fieldsUsage>
    </cacheHierarchy>
    <cacheHierarchy uniqueName="[Measures].[AvgOrderRev]" caption="AvgOrderRev"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Revenue]" caption="Sum of Revenue" measure="1" displayFolder="" measureGroup="Fact_Sales"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7"/>
        </ext>
      </extLst>
    </cacheHierarchy>
    <cacheHierarchy uniqueName="[Measures].[Sum of Year 2]" caption="Sum of Year 2" measure="1" displayFolder="" measureGroup="Dim_Orders" count="0" hidden="1">
      <extLst>
        <ext xmlns:x15="http://schemas.microsoft.com/office/spreadsheetml/2010/11/main" uri="{B97F6D7D-B522-45F9-BDA1-12C45D357490}">
          <x15:cacheHierarchy aggregatedColumn="13"/>
        </ext>
      </extLst>
    </cacheHierarchy>
    <cacheHierarchy uniqueName="[Measures].[Sum of Quarter]" caption="Sum of Quarter" measure="1" displayFolder="" measureGroup="Dim_Orders" count="0" hidden="1">
      <extLst>
        <ext xmlns:x15="http://schemas.microsoft.com/office/spreadsheetml/2010/11/main" uri="{B97F6D7D-B522-45F9-BDA1-12C45D357490}">
          <x15:cacheHierarchy aggregatedColumn="14"/>
        </ext>
      </extLst>
    </cacheHierarchy>
    <cacheHierarchy uniqueName="[Measures].[Sum of CustomerSK]" caption="Sum of CustomerSK" measure="1" displayFolder="" measureGroup="Dim_Customers" count="0" hidden="1">
      <extLst>
        <ext xmlns:x15="http://schemas.microsoft.com/office/spreadsheetml/2010/11/main" uri="{B97F6D7D-B522-45F9-BDA1-12C45D357490}">
          <x15:cacheHierarchy aggregatedColumn="0"/>
        </ext>
      </extLst>
    </cacheHierarchy>
    <cacheHierarchy uniqueName="[Measures].[Count of IndustryType]" caption="Count of IndustryType" measure="1" displayFolder="" measureGroup="Dim_Customers"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Fact_Sales" count="0" hidden="1">
      <extLst>
        <ext xmlns:x15="http://schemas.microsoft.com/office/spreadsheetml/2010/11/main" uri="{B97F6D7D-B522-45F9-BDA1-12C45D357490}">
          <x15:cacheHierarchy aggregatedColumn="29"/>
        </ext>
      </extLst>
    </cacheHierarchy>
    <cacheHierarchy uniqueName="[Measures].[Average of UnitPrice]" caption="Average of UnitPrice" measure="1" displayFolder="" measureGroup="Fact_Sales" count="0" hidden="1">
      <extLst>
        <ext xmlns:x15="http://schemas.microsoft.com/office/spreadsheetml/2010/11/main" uri="{B97F6D7D-B522-45F9-BDA1-12C45D357490}">
          <x15:cacheHierarchy aggregatedColumn="29"/>
        </ext>
      </extLst>
    </cacheHierarchy>
  </cacheHierarchies>
  <kpis count="0"/>
  <dimensions count="6">
    <dimension name="Dim_Customers" uniqueName="[Dim_Customers]" caption="Dim_Customers"/>
    <dimension name="Dim_Date" uniqueName="[Dim_Date]" caption="Dim_Date"/>
    <dimension name="Dim_Orders" uniqueName="[Dim_Orders]" caption="Dim_Orders"/>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Orders" caption="Dim_Orders"/>
    <measureGroup name="Dim_Products" caption="Dim_Products"/>
    <measureGroup name="Fact_Sales" caption="Fact_Sales"/>
  </measureGroups>
  <maps count="8">
    <map measureGroup="0" dimension="0"/>
    <map measureGroup="1" dimension="1"/>
    <map measureGroup="2" dimension="2"/>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pivotCacheId="11286520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050F5A-59C4-42AB-AA27-3DE62A2A60E2}" name="PivotChartTable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5" firstHeaderRow="0"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2"/>
  </colFields>
  <colItems count="2">
    <i>
      <x/>
    </i>
    <i i="1">
      <x v="1"/>
    </i>
  </colItems>
  <dataFields count="2">
    <dataField fld="0"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2">
        <x15:serverFormat format="&quot;₪&quot;#,0;-&quot;₪&quot;#,0;&quot;₪&quot;#,0"/>
        <x15:serverFormat format=""/>
      </x15:pivotTableServerFormats>
    </ext>
    <ext xmlns:x15="http://schemas.microsoft.com/office/spreadsheetml/2010/11/main" uri="{44433962-1CF7-4059-B4EE-95C3D5FFCF73}">
      <x15:pivotTableData rowCount="4" columnCount="2" cacheId="1128652078">
        <x15:pivotRow count="2">
          <x15:c>
            <x15:v>295753.10690000001</x15:v>
            <x15:x in="0"/>
          </x15:c>
          <x15:c>
            <x15:v>13147</x15:v>
            <x15:x in="1"/>
          </x15:c>
        </x15:pivotRow>
        <x15:pivotRow count="2">
          <x15:c>
            <x15:v>309798.31040000002</x15:v>
            <x15:x in="0"/>
          </x15:c>
          <x15:c>
            <x15:v>13164</x15:v>
            <x15:x in="1"/>
          </x15:c>
        </x15:pivotRow>
        <x15:pivotRow count="2">
          <x15:c>
            <x15:v>321649.07189999998</x15:v>
            <x15:x in="0"/>
          </x15:c>
          <x15:c>
            <x15:v>12901</x15:v>
            <x15:x in="1"/>
          </x15:c>
        </x15:pivotRow>
        <x15:pivotRow count="2">
          <x15:c>
            <x15:v>927200.48919999995</x15:v>
            <x15:x in="0"/>
          </x15:c>
          <x15:c>
            <x15:v>39212</x15:v>
            <x15:x in="1"/>
          </x15:c>
        </x15:pivotRow>
      </x15:pivotTableData>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696FF1-2F3A-4D9F-A376-E27542A56C8F}" name="PivotChar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quot;₪&quot;#,0;&quot;₪&quot;#,0"/>
      </x15:pivotTableServerFormats>
    </ext>
    <ext xmlns:x15="http://schemas.microsoft.com/office/spreadsheetml/2010/11/main" uri="{44433962-1CF7-4059-B4EE-95C3D5FFCF73}">
      <x15:pivotTableData rowCount="3" columnCount="1" cacheId="17988402">
        <x15:pivotRow count="1">
          <x15:c>
            <x15:v>692894.04760000005</x15:v>
            <x15:x in="0"/>
          </x15:c>
        </x15:pivotRow>
        <x15:pivotRow count="1">
          <x15:c>
            <x15:v>234306.44159999999</x15:v>
            <x15:x in="0"/>
          </x15:c>
        </x15:pivotRow>
        <x15:pivotRow count="1">
          <x15:c>
            <x15:v>927200.48919999995</x15:v>
            <x15:x in="0"/>
          </x15:c>
        </x15:pivotRow>
      </x15:pivotTableData>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5697B2-B582-4D55-85B6-7E3A98E5A16B}" name="PivotChar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quot;₪&quot;#,0;&quot;₪&quot;#,0"/>
      </x15:pivotTableServerFormats>
    </ext>
    <ext xmlns:x15="http://schemas.microsoft.com/office/spreadsheetml/2010/11/main" uri="{44433962-1CF7-4059-B4EE-95C3D5FFCF73}">
      <x15:pivotTableData rowCount="4" columnCount="1" cacheId="1414007918">
        <x15:pivotRow count="1">
          <x15:c>
            <x15:v>237320.28229999999</x15:v>
            <x15:x in="0"/>
          </x15:c>
        </x15:pivotRow>
        <x15:pivotRow count="1">
          <x15:c>
            <x15:v>594253.43689999997</x15:v>
            <x15:x in="0"/>
          </x15:c>
        </x15:pivotRow>
        <x15:pivotRow count="1">
          <x15:c>
            <x15:v>95626.77</x15:v>
            <x15:x in="0"/>
          </x15:c>
        </x15:pivotRow>
        <x15:pivotRow count="1">
          <x15:c>
            <x15:v>927200.48919999995</x15:v>
            <x15:x in="0"/>
          </x15:c>
        </x15:pivotRow>
      </x15:pivotTableData>
    </ext>
    <ext xmlns:x15="http://schemas.microsoft.com/office/spreadsheetml/2010/11/main" uri="{E67621CE-5B39-4880-91FE-76760E9C1902}">
      <x15:pivotTableUISettings>
        <x15:activeTabTopLevelEntity name="[Dim_Product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0689E9-40D8-4021-8503-6B0267BF7C6A}" name="PivotChartTable2" cacheId="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7"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v="3"/>
    </i>
    <i>
      <x/>
    </i>
    <i>
      <x v="4"/>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0" type="count" id="1" iMeasureHier="30">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quot;₪&quot;#,0;&quot;₪&quot;#,0"/>
      </x15:pivotTableServerFormats>
    </ext>
    <ext xmlns:x15="http://schemas.microsoft.com/office/spreadsheetml/2010/11/main" uri="{44433962-1CF7-4059-B4EE-95C3D5FFCF73}">
      <x15:pivotTableData rowCount="6" columnCount="1" cacheId="414148943">
        <x15:pivotRow count="1">
          <x15:c>
            <x15:v>83645.724900000001</x15:v>
            <x15:x in="0"/>
          </x15:c>
        </x15:pivotRow>
        <x15:pivotRow count="1">
          <x15:c>
            <x15:v>111299.7314</x15:v>
            <x15:x in="0"/>
          </x15:c>
        </x15:pivotRow>
        <x15:pivotRow count="1">
          <x15:c>
            <x15:v>127415.0101</x15:v>
            <x15:x in="0"/>
          </x15:c>
        </x15:pivotRow>
        <x15:pivotRow count="1">
          <x15:c>
            <x15:v>128759.06540000001</x15:v>
            <x15:x in="0"/>
          </x15:c>
        </x15:pivotRow>
        <x15:pivotRow count="1">
          <x15:c>
            <x15:v>130344.0575</x15:v>
            <x15:x in="0"/>
          </x15:c>
        </x15:pivotRow>
        <x15:pivotRow count="1">
          <x15:c>
            <x15:v>581463.58929999999</x15:v>
            <x15:x in="0"/>
          </x15:c>
        </x15:pivotRow>
      </x15:pivotTableData>
    </ext>
    <ext xmlns:x15="http://schemas.microsoft.com/office/spreadsheetml/2010/11/main" uri="{E67621CE-5B39-4880-91FE-76760E9C1902}">
      <x15:pivotTableUISettings>
        <x15:activeTabTopLevelEntity name="[Dim_Product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B824F9-C82D-490C-84A6-C0643F7F6868}" name="PivotChar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s>
  <rowFields count="2">
    <field x="1"/>
    <field x="2"/>
  </rowFields>
  <rowItems count="16">
    <i>
      <x/>
    </i>
    <i r="1">
      <x/>
    </i>
    <i r="1">
      <x v="1"/>
    </i>
    <i r="1">
      <x v="2"/>
    </i>
    <i r="1">
      <x v="3"/>
    </i>
    <i>
      <x v="1"/>
    </i>
    <i r="1">
      <x/>
    </i>
    <i r="1">
      <x v="1"/>
    </i>
    <i r="1">
      <x v="2"/>
    </i>
    <i r="1">
      <x v="3"/>
    </i>
    <i>
      <x v="2"/>
    </i>
    <i r="1">
      <x/>
    </i>
    <i r="1">
      <x v="1"/>
    </i>
    <i r="1">
      <x v="2"/>
    </i>
    <i r="1">
      <x v="3"/>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quot;₪&quot;#,0;&quot;₪&quot;#,0"/>
      </x15:pivotTableServerFormats>
    </ext>
    <ext xmlns:x15="http://schemas.microsoft.com/office/spreadsheetml/2010/11/main" uri="{44433962-1CF7-4059-B4EE-95C3D5FFCF73}">
      <x15:pivotTableData rowCount="16" columnCount="1" cacheId="1556057680">
        <x15:pivotRow count="1">
          <x15:c t="e">
            <x15:v/>
          </x15:c>
        </x15:pivotRow>
        <x15:pivotRow count="1">
          <x15:c>
            <x15:v>73028.522400000002</x15:v>
            <x15:x in="0"/>
          </x15:c>
        </x15:pivotRow>
        <x15:pivotRow count="1">
          <x15:c>
            <x15:v>81984.335800000001</x15:v>
            <x15:x in="0"/>
          </x15:c>
        </x15:pivotRow>
        <x15:pivotRow count="1">
          <x15:c>
            <x15:v>70421.161900000006</x15:v>
            <x15:x in="0"/>
          </x15:c>
        </x15:pivotRow>
        <x15:pivotRow count="1">
          <x15:c>
            <x15:v>70319.086800000005</x15:v>
            <x15:x in="0"/>
          </x15:c>
        </x15:pivotRow>
        <x15:pivotRow count="1">
          <x15:c t="e">
            <x15:v/>
          </x15:c>
        </x15:pivotRow>
        <x15:pivotRow count="1">
          <x15:c>
            <x15:v>60113.727400000003</x15:v>
            <x15:x in="0"/>
          </x15:c>
        </x15:pivotRow>
        <x15:pivotRow count="1">
          <x15:c>
            <x15:v>100077.37609999999</x15:v>
            <x15:x in="0"/>
          </x15:c>
        </x15:pivotRow>
        <x15:pivotRow count="1">
          <x15:c>
            <x15:v>80009.0769</x15:v>
            <x15:x in="0"/>
          </x15:c>
        </x15:pivotRow>
        <x15:pivotRow count="1">
          <x15:c>
            <x15:v>69598.13</x15:v>
            <x15:x in="0"/>
          </x15:c>
        </x15:pivotRow>
        <x15:pivotRow count="1">
          <x15:c t="e">
            <x15:v/>
          </x15:c>
        </x15:pivotRow>
        <x15:pivotRow count="1">
          <x15:c>
            <x15:v>56486.770400000001</x15:v>
            <x15:x in="0"/>
          </x15:c>
        </x15:pivotRow>
        <x15:pivotRow count="1">
          <x15:c>
            <x15:v>88367.294500000004</x15:v>
            <x15:x in="0"/>
          </x15:c>
        </x15:pivotRow>
        <x15:pivotRow count="1">
          <x15:c>
            <x15:v>82798.126799999998</x15:v>
            <x15:x in="0"/>
          </x15:c>
        </x15:pivotRow>
        <x15:pivotRow count="1">
          <x15:c>
            <x15:v>93996.8802</x15:v>
            <x15:x in="0"/>
          </x15:c>
        </x15:pivotRow>
        <x15:pivotRow count="1">
          <x15:c>
            <x15:v>927200.48919999995</x15:v>
            <x15:x in="0"/>
          </x15:c>
        </x15:pivotRow>
      </x15:pivotTableData>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AD3CD3-7034-4935-BC9F-251D5E990CC7}" name="PivotTable1" cacheId="1" applyNumberFormats="0" applyBorderFormats="0" applyFontFormats="0" applyPatternFormats="0" applyAlignmentFormats="0" applyWidthHeightFormats="1" dataCaption="Values" tag="850f95ad-f3fc-48bf-a26f-48f0d7904a9d" updatedVersion="8" minRefreshableVersion="3" showDrill="0" useAutoFormatting="1" subtotalHiddenItems="1" itemPrintTitles="1" createdVersion="8" indent="0" compact="0" compactData="0" multipleFieldFilters="0">
  <location ref="A3:G14" firstHeaderRow="0" firstDataRow="1" firstDataCol="3"/>
  <pivotFields count="7">
    <pivotField dataField="1" compact="0" outline="0" showAll="0" defaultSubtotal="0"/>
    <pivotField dataField="1" compact="0" outline="0" showAll="0" defaultSubtotal="0"/>
    <pivotField dataField="1" compact="0" outline="0" showAll="0" defaultSubtotal="0"/>
    <pivotField name="Customer Name" axis="axisRow" compact="0" allDrilled="1" outline="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howAll="0" dataSourceSort="1" defaultSubtotal="0" defaultAttributeDrillState="1">
      <items count="9">
        <item x="0"/>
        <item x="1"/>
        <item x="2"/>
        <item x="3"/>
        <item x="4"/>
        <item x="5"/>
        <item x="6"/>
        <item x="7"/>
        <item x="8"/>
      </items>
    </pivotField>
    <pivotField dataField="1" compact="0" outline="0" showAll="0" defaultSubtotal="0"/>
    <pivotField name="Customer Type " axis="axisRow" compact="0" allDrilled="1" outline="0" showAll="0" dataSourceSort="1" defaultSubtotal="0" defaultAttributeDrillState="1">
      <items count="2">
        <item x="0"/>
        <item x="1"/>
      </items>
    </pivotField>
  </pivotFields>
  <rowFields count="3">
    <field x="3"/>
    <field x="6"/>
    <field x="4"/>
  </rowFields>
  <rowItems count="11">
    <i>
      <x v="8"/>
      <x/>
      <x v="7"/>
    </i>
    <i>
      <x v="2"/>
      <x/>
      <x v="2"/>
    </i>
    <i>
      <x v="5"/>
      <x v="1"/>
      <x v="5"/>
    </i>
    <i>
      <x v="4"/>
      <x/>
      <x v="4"/>
    </i>
    <i>
      <x/>
      <x/>
      <x/>
    </i>
    <i>
      <x v="7"/>
      <x v="1"/>
      <x/>
    </i>
    <i>
      <x v="6"/>
      <x/>
      <x v="6"/>
    </i>
    <i>
      <x v="1"/>
      <x/>
      <x v="1"/>
    </i>
    <i>
      <x v="3"/>
      <x/>
      <x v="3"/>
    </i>
    <i>
      <x v="9"/>
      <x/>
      <x v="8"/>
    </i>
    <i t="grand">
      <x/>
    </i>
  </rowItems>
  <colFields count="1">
    <field x="-2"/>
  </colFields>
  <colItems count="4">
    <i>
      <x/>
    </i>
    <i i="1">
      <x v="1"/>
    </i>
    <i i="2">
      <x v="2"/>
    </i>
    <i i="3">
      <x v="3"/>
    </i>
  </colItems>
  <dataFields count="4">
    <dataField name="Revenue " fld="0" subtotal="count" baseField="0" baseItem="0"/>
    <dataField name="Orders " fld="1" subtotal="count" baseField="0" baseItem="0"/>
    <dataField name="AOV" fld="5" subtotal="count" baseField="0" baseItem="0"/>
    <dataField name="Products " fld="2" subtotal="count" baseField="0" baseItem="0"/>
  </dataFields>
  <formats count="75">
    <format dxfId="74">
      <pivotArea dataOnly="0" labelOnly="1" outline="0" fieldPosition="0">
        <references count="1">
          <reference field="4294967294" count="4">
            <x v="0"/>
            <x v="1"/>
            <x v="2"/>
            <x v="3"/>
          </reference>
        </references>
      </pivotArea>
    </format>
    <format dxfId="73">
      <pivotArea grandRow="1" outline="0" collapsedLevelsAreSubtotals="1" fieldPosition="0"/>
    </format>
    <format dxfId="72">
      <pivotArea dataOnly="0" labelOnly="1" outline="0" fieldPosition="0">
        <references count="1">
          <reference field="4294967294" count="4">
            <x v="0"/>
            <x v="1"/>
            <x v="2"/>
            <x v="3"/>
          </reference>
        </references>
      </pivotArea>
    </format>
    <format dxfId="71">
      <pivotArea grandRow="1" outline="0" collapsedLevelsAreSubtotals="1" fieldPosition="0"/>
    </format>
    <format dxfId="70">
      <pivotArea field="4" type="button" dataOnly="0" labelOnly="1" outline="0" axis="axisRow" fieldPosition="2"/>
    </format>
    <format dxfId="69">
      <pivotArea field="6" type="button" dataOnly="0" labelOnly="1" outline="0" axis="axisRow" fieldPosition="1"/>
    </format>
    <format dxfId="68">
      <pivotArea dataOnly="0" labelOnly="1" grandRow="1" outline="0" offset="B256:IV256" fieldPosition="0"/>
    </format>
    <format dxfId="67">
      <pivotArea type="all" dataOnly="0" outline="0" fieldPosition="0"/>
    </format>
    <format dxfId="66">
      <pivotArea outline="0" collapsedLevelsAreSubtotals="1" fieldPosition="0"/>
    </format>
    <format dxfId="65">
      <pivotArea field="3" type="button" dataOnly="0" labelOnly="1" outline="0" axis="axisRow" fieldPosition="0"/>
    </format>
    <format dxfId="64">
      <pivotArea field="4" type="button" dataOnly="0" labelOnly="1" outline="0" axis="axisRow" fieldPosition="2"/>
    </format>
    <format dxfId="63">
      <pivotArea field="6" type="button" dataOnly="0" labelOnly="1" outline="0" axis="axisRow" fieldPosition="1"/>
    </format>
    <format dxfId="62">
      <pivotArea dataOnly="0" labelOnly="1" grandRow="1" outline="0" fieldPosition="0"/>
    </format>
    <format dxfId="61">
      <pivotArea dataOnly="0" labelOnly="1" outline="0" fieldPosition="0">
        <references count="2">
          <reference field="3" count="1" selected="0">
            <x v="8"/>
          </reference>
          <reference field="4" count="1">
            <x v="7"/>
          </reference>
        </references>
      </pivotArea>
    </format>
    <format dxfId="60">
      <pivotArea dataOnly="0" labelOnly="1" outline="0" fieldPosition="0">
        <references count="2">
          <reference field="3" count="1" selected="0">
            <x v="2"/>
          </reference>
          <reference field="4" count="1">
            <x v="2"/>
          </reference>
        </references>
      </pivotArea>
    </format>
    <format dxfId="59">
      <pivotArea dataOnly="0" labelOnly="1" outline="0" fieldPosition="0">
        <references count="2">
          <reference field="3" count="1" selected="0">
            <x v="5"/>
          </reference>
          <reference field="4" count="1">
            <x v="5"/>
          </reference>
        </references>
      </pivotArea>
    </format>
    <format dxfId="58">
      <pivotArea dataOnly="0" labelOnly="1" outline="0" fieldPosition="0">
        <references count="2">
          <reference field="3" count="1" selected="0">
            <x v="4"/>
          </reference>
          <reference field="4" count="1">
            <x v="4"/>
          </reference>
        </references>
      </pivotArea>
    </format>
    <format dxfId="57">
      <pivotArea dataOnly="0" labelOnly="1" outline="0" fieldPosition="0">
        <references count="2">
          <reference field="3" count="1" selected="0">
            <x v="0"/>
          </reference>
          <reference field="4" count="1">
            <x v="0"/>
          </reference>
        </references>
      </pivotArea>
    </format>
    <format dxfId="56">
      <pivotArea dataOnly="0" labelOnly="1" outline="0" fieldPosition="0">
        <references count="2">
          <reference field="3" count="1" selected="0">
            <x v="6"/>
          </reference>
          <reference field="4" count="1">
            <x v="6"/>
          </reference>
        </references>
      </pivotArea>
    </format>
    <format dxfId="55">
      <pivotArea dataOnly="0" labelOnly="1" outline="0" fieldPosition="0">
        <references count="2">
          <reference field="3" count="1" selected="0">
            <x v="1"/>
          </reference>
          <reference field="4" count="1">
            <x v="1"/>
          </reference>
        </references>
      </pivotArea>
    </format>
    <format dxfId="54">
      <pivotArea dataOnly="0" labelOnly="1" outline="0" fieldPosition="0">
        <references count="2">
          <reference field="3" count="1" selected="0">
            <x v="3"/>
          </reference>
          <reference field="4" count="1">
            <x v="3"/>
          </reference>
        </references>
      </pivotArea>
    </format>
    <format dxfId="53">
      <pivotArea dataOnly="0" labelOnly="1" outline="0" fieldPosition="0">
        <references count="2">
          <reference field="3" count="1" selected="0">
            <x v="9"/>
          </reference>
          <reference field="4" count="1">
            <x v="8"/>
          </reference>
        </references>
      </pivotArea>
    </format>
    <format dxfId="52">
      <pivotArea dataOnly="0" labelOnly="1" outline="0" fieldPosition="0">
        <references count="3">
          <reference field="3" count="1" selected="0">
            <x v="2"/>
          </reference>
          <reference field="4" count="1" selected="0">
            <x v="2"/>
          </reference>
          <reference field="6" count="1">
            <x v="0"/>
          </reference>
        </references>
      </pivotArea>
    </format>
    <format dxfId="51">
      <pivotArea dataOnly="0" labelOnly="1" outline="0" fieldPosition="0">
        <references count="3">
          <reference field="3" count="1" selected="0">
            <x v="0"/>
          </reference>
          <reference field="4" count="1" selected="0">
            <x v="0"/>
          </reference>
          <reference field="6" count="1">
            <x v="0"/>
          </reference>
        </references>
      </pivotArea>
    </format>
    <format dxfId="50">
      <pivotArea dataOnly="0" labelOnly="1" outline="0" fieldPosition="0">
        <references count="3">
          <reference field="3" count="1" selected="0">
            <x v="1"/>
          </reference>
          <reference field="4" count="1" selected="0">
            <x v="1"/>
          </reference>
          <reference field="6" count="1">
            <x v="0"/>
          </reference>
        </references>
      </pivotArea>
    </format>
    <format dxfId="49">
      <pivotArea dataOnly="0" labelOnly="1" outline="0" fieldPosition="0">
        <references count="3">
          <reference field="3" count="1" selected="0">
            <x v="3"/>
          </reference>
          <reference field="4" count="1" selected="0">
            <x v="3"/>
          </reference>
          <reference field="6" count="1">
            <x v="0"/>
          </reference>
        </references>
      </pivotArea>
    </format>
    <format dxfId="48">
      <pivotArea dataOnly="0" labelOnly="1" outline="0" fieldPosition="0">
        <references count="3">
          <reference field="3" count="1" selected="0">
            <x v="9"/>
          </reference>
          <reference field="4" count="1" selected="0">
            <x v="8"/>
          </reference>
          <reference field="6" count="1">
            <x v="0"/>
          </reference>
        </references>
      </pivotArea>
    </format>
    <format dxfId="47">
      <pivotArea dataOnly="0" labelOnly="1" outline="0" fieldPosition="0">
        <references count="1">
          <reference field="4294967294" count="4">
            <x v="0"/>
            <x v="1"/>
            <x v="2"/>
            <x v="3"/>
          </reference>
        </references>
      </pivotArea>
    </format>
    <format dxfId="46">
      <pivotArea field="3" type="button" dataOnly="0" labelOnly="1" outline="0" axis="axisRow" fieldPosition="0"/>
    </format>
    <format dxfId="45">
      <pivotArea dataOnly="0" labelOnly="1" grandRow="1" outline="0" offset="A256" fieldPosition="0"/>
    </format>
    <format dxfId="44">
      <pivotArea outline="0" fieldPosition="0">
        <references count="3">
          <reference field="3" count="0" selected="0"/>
          <reference field="4" count="0" selected="0"/>
          <reference field="6" count="0" selected="0"/>
        </references>
      </pivotArea>
    </format>
    <format dxfId="43">
      <pivotArea dataOnly="0" labelOnly="1" outline="0" fieldPosition="0">
        <references count="1">
          <reference field="3" count="0"/>
        </references>
      </pivotArea>
    </format>
    <format dxfId="42">
      <pivotArea field="3" type="button" dataOnly="0" labelOnly="1" outline="0" axis="axisRow" fieldPosition="0"/>
    </format>
    <format dxfId="41">
      <pivotArea dataOnly="0" labelOnly="1" grandRow="1" outline="0" offset="A256" fieldPosition="0"/>
    </format>
    <format dxfId="40">
      <pivotArea dataOnly="0" labelOnly="1" outline="0" fieldPosition="0">
        <references count="2">
          <reference field="3" count="1" selected="0">
            <x v="8"/>
          </reference>
          <reference field="6" count="1">
            <x v="0"/>
          </reference>
        </references>
      </pivotArea>
    </format>
    <format dxfId="39">
      <pivotArea dataOnly="0" labelOnly="1" outline="0" fieldPosition="0">
        <references count="2">
          <reference field="3" count="1" selected="0">
            <x v="5"/>
          </reference>
          <reference field="6" count="1">
            <x v="1"/>
          </reference>
        </references>
      </pivotArea>
    </format>
    <format dxfId="38">
      <pivotArea dataOnly="0" labelOnly="1" outline="0" fieldPosition="0">
        <references count="2">
          <reference field="3" count="1" selected="0">
            <x v="4"/>
          </reference>
          <reference field="6" count="1">
            <x v="0"/>
          </reference>
        </references>
      </pivotArea>
    </format>
    <format dxfId="37">
      <pivotArea dataOnly="0" labelOnly="1" outline="0" fieldPosition="0">
        <references count="2">
          <reference field="3" count="1" selected="0">
            <x v="7"/>
          </reference>
          <reference field="6" count="1">
            <x v="1"/>
          </reference>
        </references>
      </pivotArea>
    </format>
    <format dxfId="36">
      <pivotArea dataOnly="0" labelOnly="1" outline="0" fieldPosition="0">
        <references count="2">
          <reference field="3" count="1" selected="0">
            <x v="6"/>
          </reference>
          <reference field="6" count="1">
            <x v="0"/>
          </reference>
        </references>
      </pivotArea>
    </format>
    <format dxfId="35">
      <pivotArea dataOnly="0" labelOnly="1" outline="0" fieldPosition="0">
        <references count="3">
          <reference field="3" count="1" selected="0">
            <x v="8"/>
          </reference>
          <reference field="4" count="1">
            <x v="7"/>
          </reference>
          <reference field="6" count="1" selected="0">
            <x v="0"/>
          </reference>
        </references>
      </pivotArea>
    </format>
    <format dxfId="34">
      <pivotArea dataOnly="0" labelOnly="1" outline="0" fieldPosition="0">
        <references count="3">
          <reference field="3" count="1" selected="0">
            <x v="2"/>
          </reference>
          <reference field="4" count="1">
            <x v="2"/>
          </reference>
          <reference field="6" count="1" selected="0">
            <x v="0"/>
          </reference>
        </references>
      </pivotArea>
    </format>
    <format dxfId="33">
      <pivotArea dataOnly="0" labelOnly="1" outline="0" fieldPosition="0">
        <references count="3">
          <reference field="3" count="1" selected="0">
            <x v="5"/>
          </reference>
          <reference field="4" count="1">
            <x v="5"/>
          </reference>
          <reference field="6" count="1" selected="0">
            <x v="1"/>
          </reference>
        </references>
      </pivotArea>
    </format>
    <format dxfId="32">
      <pivotArea dataOnly="0" labelOnly="1" outline="0" fieldPosition="0">
        <references count="3">
          <reference field="3" count="1" selected="0">
            <x v="4"/>
          </reference>
          <reference field="4" count="1">
            <x v="4"/>
          </reference>
          <reference field="6" count="1" selected="0">
            <x v="0"/>
          </reference>
        </references>
      </pivotArea>
    </format>
    <format dxfId="31">
      <pivotArea dataOnly="0" labelOnly="1" outline="0" fieldPosition="0">
        <references count="3">
          <reference field="3" count="1" selected="0">
            <x v="0"/>
          </reference>
          <reference field="4" count="1">
            <x v="0"/>
          </reference>
          <reference field="6" count="1" selected="0">
            <x v="0"/>
          </reference>
        </references>
      </pivotArea>
    </format>
    <format dxfId="30">
      <pivotArea dataOnly="0" labelOnly="1" outline="0" fieldPosition="0">
        <references count="3">
          <reference field="3" count="1" selected="0">
            <x v="7"/>
          </reference>
          <reference field="4" count="1">
            <x v="0"/>
          </reference>
          <reference field="6" count="1" selected="0">
            <x v="1"/>
          </reference>
        </references>
      </pivotArea>
    </format>
    <format dxfId="29">
      <pivotArea dataOnly="0" labelOnly="1" outline="0" fieldPosition="0">
        <references count="3">
          <reference field="3" count="1" selected="0">
            <x v="6"/>
          </reference>
          <reference field="4" count="1">
            <x v="6"/>
          </reference>
          <reference field="6" count="1" selected="0">
            <x v="0"/>
          </reference>
        </references>
      </pivotArea>
    </format>
    <format dxfId="28">
      <pivotArea dataOnly="0" labelOnly="1" outline="0" fieldPosition="0">
        <references count="3">
          <reference field="3" count="1" selected="0">
            <x v="1"/>
          </reference>
          <reference field="4" count="1">
            <x v="1"/>
          </reference>
          <reference field="6" count="1" selected="0">
            <x v="0"/>
          </reference>
        </references>
      </pivotArea>
    </format>
    <format dxfId="27">
      <pivotArea dataOnly="0" labelOnly="1" outline="0" fieldPosition="0">
        <references count="3">
          <reference field="3" count="1" selected="0">
            <x v="3"/>
          </reference>
          <reference field="4" count="1">
            <x v="3"/>
          </reference>
          <reference field="6" count="1" selected="0">
            <x v="0"/>
          </reference>
        </references>
      </pivotArea>
    </format>
    <format dxfId="26">
      <pivotArea dataOnly="0" labelOnly="1" outline="0" fieldPosition="0">
        <references count="3">
          <reference field="3" count="1" selected="0">
            <x v="9"/>
          </reference>
          <reference field="4" count="1">
            <x v="8"/>
          </reference>
          <reference field="6" count="1" selected="0">
            <x v="0"/>
          </reference>
        </references>
      </pivotArea>
    </format>
    <format dxfId="25">
      <pivotArea outline="0" fieldPosition="0">
        <references count="3">
          <reference field="3" count="0" selected="0"/>
          <reference field="4" count="0" selected="0"/>
          <reference field="6" count="0" selected="0"/>
        </references>
      </pivotArea>
    </format>
    <format dxfId="24">
      <pivotArea dataOnly="0" labelOnly="1" outline="0" fieldPosition="0">
        <references count="1">
          <reference field="3" count="0"/>
        </references>
      </pivotArea>
    </format>
    <format dxfId="23">
      <pivotArea dataOnly="0" labelOnly="1" outline="0" fieldPosition="0">
        <references count="2">
          <reference field="3" count="1" selected="0">
            <x v="8"/>
          </reference>
          <reference field="6" count="1">
            <x v="0"/>
          </reference>
        </references>
      </pivotArea>
    </format>
    <format dxfId="22">
      <pivotArea dataOnly="0" labelOnly="1" outline="0" fieldPosition="0">
        <references count="2">
          <reference field="3" count="1" selected="0">
            <x v="5"/>
          </reference>
          <reference field="6" count="1">
            <x v="1"/>
          </reference>
        </references>
      </pivotArea>
    </format>
    <format dxfId="21">
      <pivotArea dataOnly="0" labelOnly="1" outline="0" fieldPosition="0">
        <references count="2">
          <reference field="3" count="1" selected="0">
            <x v="4"/>
          </reference>
          <reference field="6" count="1">
            <x v="0"/>
          </reference>
        </references>
      </pivotArea>
    </format>
    <format dxfId="20">
      <pivotArea dataOnly="0" labelOnly="1" outline="0" fieldPosition="0">
        <references count="2">
          <reference field="3" count="1" selected="0">
            <x v="7"/>
          </reference>
          <reference field="6" count="1">
            <x v="1"/>
          </reference>
        </references>
      </pivotArea>
    </format>
    <format dxfId="19">
      <pivotArea dataOnly="0" labelOnly="1" outline="0" fieldPosition="0">
        <references count="2">
          <reference field="3" count="1" selected="0">
            <x v="6"/>
          </reference>
          <reference field="6" count="1">
            <x v="0"/>
          </reference>
        </references>
      </pivotArea>
    </format>
    <format dxfId="18">
      <pivotArea dataOnly="0" labelOnly="1" outline="0" fieldPosition="0">
        <references count="3">
          <reference field="3" count="1" selected="0">
            <x v="8"/>
          </reference>
          <reference field="4" count="1">
            <x v="7"/>
          </reference>
          <reference field="6" count="1" selected="0">
            <x v="0"/>
          </reference>
        </references>
      </pivotArea>
    </format>
    <format dxfId="17">
      <pivotArea dataOnly="0" labelOnly="1" outline="0" fieldPosition="0">
        <references count="3">
          <reference field="3" count="1" selected="0">
            <x v="2"/>
          </reference>
          <reference field="4" count="1">
            <x v="2"/>
          </reference>
          <reference field="6" count="1" selected="0">
            <x v="0"/>
          </reference>
        </references>
      </pivotArea>
    </format>
    <format dxfId="16">
      <pivotArea dataOnly="0" labelOnly="1" outline="0" fieldPosition="0">
        <references count="3">
          <reference field="3" count="1" selected="0">
            <x v="5"/>
          </reference>
          <reference field="4" count="1">
            <x v="5"/>
          </reference>
          <reference field="6" count="1" selected="0">
            <x v="1"/>
          </reference>
        </references>
      </pivotArea>
    </format>
    <format dxfId="15">
      <pivotArea dataOnly="0" labelOnly="1" outline="0" fieldPosition="0">
        <references count="3">
          <reference field="3" count="1" selected="0">
            <x v="4"/>
          </reference>
          <reference field="4" count="1">
            <x v="4"/>
          </reference>
          <reference field="6" count="1" selected="0">
            <x v="0"/>
          </reference>
        </references>
      </pivotArea>
    </format>
    <format dxfId="14">
      <pivotArea dataOnly="0" labelOnly="1" outline="0" fieldPosition="0">
        <references count="3">
          <reference field="3" count="1" selected="0">
            <x v="0"/>
          </reference>
          <reference field="4" count="1">
            <x v="0"/>
          </reference>
          <reference field="6" count="1" selected="0">
            <x v="0"/>
          </reference>
        </references>
      </pivotArea>
    </format>
    <format dxfId="13">
      <pivotArea dataOnly="0" labelOnly="1" outline="0" fieldPosition="0">
        <references count="3">
          <reference field="3" count="1" selected="0">
            <x v="7"/>
          </reference>
          <reference field="4" count="1">
            <x v="0"/>
          </reference>
          <reference field="6" count="1" selected="0">
            <x v="1"/>
          </reference>
        </references>
      </pivotArea>
    </format>
    <format dxfId="12">
      <pivotArea dataOnly="0" labelOnly="1" outline="0" fieldPosition="0">
        <references count="3">
          <reference field="3" count="1" selected="0">
            <x v="6"/>
          </reference>
          <reference field="4" count="1">
            <x v="6"/>
          </reference>
          <reference field="6" count="1" selected="0">
            <x v="0"/>
          </reference>
        </references>
      </pivotArea>
    </format>
    <format dxfId="11">
      <pivotArea dataOnly="0" labelOnly="1" outline="0" fieldPosition="0">
        <references count="3">
          <reference field="3" count="1" selected="0">
            <x v="1"/>
          </reference>
          <reference field="4" count="1">
            <x v="1"/>
          </reference>
          <reference field="6" count="1" selected="0">
            <x v="0"/>
          </reference>
        </references>
      </pivotArea>
    </format>
    <format dxfId="10">
      <pivotArea dataOnly="0" labelOnly="1" outline="0" fieldPosition="0">
        <references count="3">
          <reference field="3" count="1" selected="0">
            <x v="3"/>
          </reference>
          <reference field="4" count="1">
            <x v="3"/>
          </reference>
          <reference field="6" count="1" selected="0">
            <x v="0"/>
          </reference>
        </references>
      </pivotArea>
    </format>
    <format dxfId="9">
      <pivotArea dataOnly="0" labelOnly="1" outline="0" fieldPosition="0">
        <references count="3">
          <reference field="3" count="1" selected="0">
            <x v="9"/>
          </reference>
          <reference field="4" count="1">
            <x v="8"/>
          </reference>
          <reference field="6" count="1" selected="0">
            <x v="0"/>
          </reference>
        </references>
      </pivotArea>
    </format>
    <format dxfId="8">
      <pivotArea dataOnly="0" labelOnly="1" outline="0" fieldPosition="0">
        <references count="1">
          <reference field="3" count="0"/>
        </references>
      </pivotArea>
    </format>
    <format dxfId="7">
      <pivotArea dataOnly="0" labelOnly="1" outline="0" fieldPosition="0">
        <references count="1">
          <reference field="3" count="0"/>
        </references>
      </pivotArea>
    </format>
    <format dxfId="6">
      <pivotArea dataOnly="0" labelOnly="1" grandRow="1" outline="0" fieldPosition="0"/>
    </format>
    <format dxfId="5">
      <pivotArea field="3" type="button" dataOnly="0" labelOnly="1" outline="0" axis="axisRow" fieldPosition="0"/>
    </format>
    <format dxfId="4">
      <pivotArea field="6" type="button" dataOnly="0" labelOnly="1" outline="0" axis="axisRow" fieldPosition="1"/>
    </format>
    <format dxfId="3">
      <pivotArea field="4" type="button" dataOnly="0" labelOnly="1" outline="0" axis="axisRow" fieldPosition="2"/>
    </format>
    <format dxfId="2">
      <pivotArea outline="0" collapsedLevelsAreSubtotals="1" fieldPosition="0"/>
    </format>
    <format dxfId="1">
      <pivotArea field="6" type="button" dataOnly="0" labelOnly="1" outline="0" axis="axisRow" fieldPosition="1"/>
    </format>
    <format dxfId="0">
      <pivotArea field="4" type="button" dataOnly="0" labelOnly="1" outline="0" axis="axisRow" fieldPosition="2"/>
    </format>
  </formats>
  <pivotHierarchies count="52">
    <pivotHierarchy dragToData="1"/>
    <pivotHierarchy dragToData="1"/>
    <pivotHierarchy dragToData="1" caption="Customer Name"/>
    <pivotHierarchy dragToData="1" caption="Customer Typ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
    <pivotHierarchy dragToRow="0" dragToCol="0" dragToPage="0" dragToData="1"/>
    <pivotHierarchy dragToRow="0" dragToCol="0" dragToPage="0" dragToData="1" caption="Orders "/>
    <pivotHierarchy dragToRow="0" dragToCol="0" dragToPage="0" dragToData="1"/>
    <pivotHierarchy dragToRow="0" dragToCol="0" dragToPage="0" dragToData="1"/>
    <pivotHierarchy dragToRow="0" dragToCol="0" dragToPage="0" dragToData="1" caption="Products "/>
    <pivotHierarchy dragToRow="0" dragToCol="0" dragToPage="0" dragToData="1" caption="AOV"/>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2" showRowHeaders="0" showColHeaders="1" showRowStripes="0" showColStripes="0" showLastColumn="1"/>
  <filters count="1">
    <filter fld="3" type="count" id="1" iMeasureHier="30">
      <autoFilter ref="A1">
        <filterColumn colId="0">
          <top10 val="10" filterVal="10"/>
        </filterColumn>
      </autoFilter>
    </filter>
  </filters>
  <rowHierarchiesUsage count="3">
    <rowHierarchyUsage hierarchyUsage="2"/>
    <rowHierarchyUsage hierarchyUsage="3"/>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3CB95C-9B9D-435A-AD9F-A83F62C49764}" name="PivotTable3" cacheId="2" applyNumberFormats="0" applyBorderFormats="0" applyFontFormats="0" applyPatternFormats="0" applyAlignmentFormats="0" applyWidthHeightFormats="1" dataCaption="Values" tag="813f187d-8032-4d34-9cd4-c6919765f934" updatedVersion="8" minRefreshableVersion="3" showDrill="0" useAutoFormatting="1" subtotalHiddenItems="1" itemPrintTitles="1" createdVersion="8" indent="0" compact="0" compactData="0" multipleFieldFilters="0" rowHeaderCaption="Country">
  <location ref="A19:E35" firstHeaderRow="0" firstDataRow="1" firstDataCol="2"/>
  <pivotFields count="6">
    <pivotField dataField="1" compact="0" outline="0" showAll="0" defaultSubtotal="0"/>
    <pivotField dataField="1" compact="0" outline="0" showAll="0" defaultSubtotal="0"/>
    <pivotField compact="0" allDrilled="1" outline="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name="Product Name" axis="axisRow" compact="0" allDrilled="1" outline="0"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name="Line of Business"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3"/>
    <field x="4"/>
  </rowFields>
  <rowItems count="16">
    <i>
      <x v="9"/>
      <x/>
    </i>
    <i>
      <x/>
      <x/>
    </i>
    <i>
      <x v="8"/>
      <x/>
    </i>
    <i>
      <x v="7"/>
      <x/>
    </i>
    <i>
      <x v="1"/>
      <x v="1"/>
    </i>
    <i>
      <x v="2"/>
      <x v="1"/>
    </i>
    <i>
      <x v="14"/>
      <x v="2"/>
    </i>
    <i>
      <x v="3"/>
      <x v="1"/>
    </i>
    <i>
      <x v="4"/>
      <x v="1"/>
    </i>
    <i>
      <x v="6"/>
      <x v="2"/>
    </i>
    <i>
      <x v="12"/>
      <x/>
    </i>
    <i>
      <x v="10"/>
      <x/>
    </i>
    <i>
      <x v="5"/>
      <x v="2"/>
    </i>
    <i>
      <x v="13"/>
      <x/>
    </i>
    <i>
      <x v="11"/>
      <x/>
    </i>
    <i t="grand">
      <x/>
    </i>
  </rowItems>
  <colFields count="1">
    <field x="-2"/>
  </colFields>
  <colItems count="3">
    <i>
      <x/>
    </i>
    <i i="1">
      <x v="1"/>
    </i>
    <i i="2">
      <x v="2"/>
    </i>
  </colItems>
  <dataFields count="3">
    <dataField name="Revenue " fld="0" subtotal="count" baseField="2" baseItem="0"/>
    <dataField name="Products " fld="1" subtotal="count" baseField="0" baseItem="0"/>
    <dataField name="Avgerage Price " fld="5" subtotal="count" baseField="0" baseItem="0"/>
  </dataFields>
  <formats count="72">
    <format dxfId="146">
      <pivotArea dataOnly="0" labelOnly="1" outline="0" fieldPosition="0">
        <references count="1">
          <reference field="4294967294" count="1">
            <x v="0"/>
          </reference>
        </references>
      </pivotArea>
    </format>
    <format dxfId="145">
      <pivotArea field="2" grandRow="1" outline="0">
        <references count="1">
          <reference field="4294967294" count="1" selected="0">
            <x v="0"/>
          </reference>
        </references>
      </pivotArea>
    </format>
    <format dxfId="144">
      <pivotArea dataOnly="0" labelOnly="1" grandRow="1" outline="0" offset="IV256" fieldPosition="0"/>
    </format>
    <format dxfId="143">
      <pivotArea dataOnly="0" labelOnly="1" outline="0" fieldPosition="0">
        <references count="1">
          <reference field="4294967294" count="1">
            <x v="1"/>
          </reference>
        </references>
      </pivotArea>
    </format>
    <format dxfId="142">
      <pivotArea field="2" grandRow="1" outline="0">
        <references count="1">
          <reference field="4294967294" count="1" selected="0">
            <x v="1"/>
          </reference>
        </references>
      </pivotArea>
    </format>
    <format dxfId="141">
      <pivotArea dataOnly="0" labelOnly="1" outline="0" fieldPosition="0">
        <references count="1">
          <reference field="4294967294" count="2">
            <x v="0"/>
            <x v="1"/>
          </reference>
        </references>
      </pivotArea>
    </format>
    <format dxfId="140">
      <pivotArea grandRow="1" outline="0" collapsedLevelsAreSubtotals="1" fieldPosition="0"/>
    </format>
    <format dxfId="139">
      <pivotArea field="2" type="button" dataOnly="0" labelOnly="1" outline="0"/>
    </format>
    <format dxfId="138">
      <pivotArea dataOnly="0" labelOnly="1" grandRow="1" outline="0" offset="A256" fieldPosition="0"/>
    </format>
    <format dxfId="137">
      <pivotArea dataOnly="0" labelOnly="1" grandRow="1" outline="0" fieldPosition="0"/>
    </format>
    <format dxfId="136">
      <pivotArea field="2" type="button" dataOnly="0" labelOnly="1" outline="0"/>
    </format>
    <format dxfId="135">
      <pivotArea type="all" dataOnly="0" outline="0" fieldPosition="0"/>
    </format>
    <format dxfId="134">
      <pivotArea outline="0" collapsedLevelsAreSubtotals="1" fieldPosition="0"/>
    </format>
    <format dxfId="133">
      <pivotArea field="2" type="button" dataOnly="0" labelOnly="1" outline="0"/>
    </format>
    <format dxfId="132">
      <pivotArea dataOnly="0" labelOnly="1" grandRow="1" outline="0" fieldPosition="0"/>
    </format>
    <format dxfId="131">
      <pivotArea dataOnly="0" labelOnly="1" outline="0" fieldPosition="0">
        <references count="1">
          <reference field="4294967294" count="2">
            <x v="0"/>
            <x v="1"/>
          </reference>
        </references>
      </pivotArea>
    </format>
    <format dxfId="130">
      <pivotArea outline="0" collapsedLevelsAreSubtotals="1" fieldPosition="0"/>
    </format>
    <format dxfId="129">
      <pivotArea dataOnly="0" labelOnly="1" outline="0" fieldPosition="0">
        <references count="1">
          <reference field="4294967294" count="2">
            <x v="0"/>
            <x v="1"/>
          </reference>
        </references>
      </pivotArea>
    </format>
    <format dxfId="128">
      <pivotArea dataOnly="0" labelOnly="1" outline="0" fieldPosition="0">
        <references count="1">
          <reference field="4294967294" count="1">
            <x v="2"/>
          </reference>
        </references>
      </pivotArea>
    </format>
    <format dxfId="127">
      <pivotArea dataOnly="0" labelOnly="1" outline="0" fieldPosition="0">
        <references count="2">
          <reference field="3" count="1" selected="0">
            <x v="9"/>
          </reference>
          <reference field="4" count="1">
            <x v="0"/>
          </reference>
        </references>
      </pivotArea>
    </format>
    <format dxfId="126">
      <pivotArea dataOnly="0" labelOnly="1" outline="0" fieldPosition="0">
        <references count="2">
          <reference field="3" count="1" selected="0">
            <x v="0"/>
          </reference>
          <reference field="4" count="1">
            <x v="0"/>
          </reference>
        </references>
      </pivotArea>
    </format>
    <format dxfId="125">
      <pivotArea dataOnly="0" labelOnly="1" outline="0" fieldPosition="0">
        <references count="2">
          <reference field="3" count="1" selected="0">
            <x v="8"/>
          </reference>
          <reference field="4" count="1">
            <x v="0"/>
          </reference>
        </references>
      </pivotArea>
    </format>
    <format dxfId="124">
      <pivotArea dataOnly="0" labelOnly="1" outline="0" fieldPosition="0">
        <references count="2">
          <reference field="3" count="1" selected="0">
            <x v="7"/>
          </reference>
          <reference field="4" count="1">
            <x v="0"/>
          </reference>
        </references>
      </pivotArea>
    </format>
    <format dxfId="123">
      <pivotArea dataOnly="0" labelOnly="1" outline="0" fieldPosition="0">
        <references count="2">
          <reference field="3" count="1" selected="0">
            <x v="1"/>
          </reference>
          <reference field="4" count="1">
            <x v="1"/>
          </reference>
        </references>
      </pivotArea>
    </format>
    <format dxfId="122">
      <pivotArea dataOnly="0" labelOnly="1" outline="0" fieldPosition="0">
        <references count="2">
          <reference field="3" count="1" selected="0">
            <x v="2"/>
          </reference>
          <reference field="4" count="1">
            <x v="1"/>
          </reference>
        </references>
      </pivotArea>
    </format>
    <format dxfId="121">
      <pivotArea dataOnly="0" labelOnly="1" outline="0" fieldPosition="0">
        <references count="2">
          <reference field="3" count="1" selected="0">
            <x v="14"/>
          </reference>
          <reference field="4" count="1">
            <x v="2"/>
          </reference>
        </references>
      </pivotArea>
    </format>
    <format dxfId="120">
      <pivotArea dataOnly="0" labelOnly="1" outline="0" fieldPosition="0">
        <references count="2">
          <reference field="3" count="1" selected="0">
            <x v="3"/>
          </reference>
          <reference field="4" count="1">
            <x v="1"/>
          </reference>
        </references>
      </pivotArea>
    </format>
    <format dxfId="119">
      <pivotArea dataOnly="0" labelOnly="1" outline="0" fieldPosition="0">
        <references count="2">
          <reference field="3" count="1" selected="0">
            <x v="4"/>
          </reference>
          <reference field="4" count="1">
            <x v="1"/>
          </reference>
        </references>
      </pivotArea>
    </format>
    <format dxfId="118">
      <pivotArea dataOnly="0" labelOnly="1" outline="0" fieldPosition="0">
        <references count="2">
          <reference field="3" count="1" selected="0">
            <x v="6"/>
          </reference>
          <reference field="4" count="1">
            <x v="2"/>
          </reference>
        </references>
      </pivotArea>
    </format>
    <format dxfId="117">
      <pivotArea dataOnly="0" labelOnly="1" outline="0" fieldPosition="0">
        <references count="2">
          <reference field="3" count="1" selected="0">
            <x v="12"/>
          </reference>
          <reference field="4" count="1">
            <x v="0"/>
          </reference>
        </references>
      </pivotArea>
    </format>
    <format dxfId="116">
      <pivotArea dataOnly="0" labelOnly="1" outline="0" fieldPosition="0">
        <references count="2">
          <reference field="3" count="1" selected="0">
            <x v="10"/>
          </reference>
          <reference field="4" count="1">
            <x v="0"/>
          </reference>
        </references>
      </pivotArea>
    </format>
    <format dxfId="115">
      <pivotArea dataOnly="0" labelOnly="1" outline="0" fieldPosition="0">
        <references count="2">
          <reference field="3" count="1" selected="0">
            <x v="5"/>
          </reference>
          <reference field="4" count="1">
            <x v="2"/>
          </reference>
        </references>
      </pivotArea>
    </format>
    <format dxfId="114">
      <pivotArea dataOnly="0" labelOnly="1" outline="0" fieldPosition="0">
        <references count="2">
          <reference field="3" count="1" selected="0">
            <x v="13"/>
          </reference>
          <reference field="4" count="1">
            <x v="0"/>
          </reference>
        </references>
      </pivotArea>
    </format>
    <format dxfId="113">
      <pivotArea dataOnly="0" labelOnly="1" outline="0" fieldPosition="0">
        <references count="2">
          <reference field="3" count="1" selected="0">
            <x v="11"/>
          </reference>
          <reference field="4" count="1">
            <x v="0"/>
          </reference>
        </references>
      </pivotArea>
    </format>
    <format dxfId="112">
      <pivotArea outline="0" fieldPosition="0">
        <references count="2">
          <reference field="3" count="0" selected="0"/>
          <reference field="4" count="0" selected="0"/>
        </references>
      </pivotArea>
    </format>
    <format dxfId="111">
      <pivotArea dataOnly="0" labelOnly="1" outline="0" fieldPosition="0">
        <references count="2">
          <reference field="3" count="1" selected="0">
            <x v="9"/>
          </reference>
          <reference field="4" count="1">
            <x v="0"/>
          </reference>
        </references>
      </pivotArea>
    </format>
    <format dxfId="110">
      <pivotArea dataOnly="0" labelOnly="1" outline="0" fieldPosition="0">
        <references count="2">
          <reference field="3" count="1" selected="0">
            <x v="0"/>
          </reference>
          <reference field="4" count="1">
            <x v="0"/>
          </reference>
        </references>
      </pivotArea>
    </format>
    <format dxfId="109">
      <pivotArea dataOnly="0" labelOnly="1" outline="0" fieldPosition="0">
        <references count="2">
          <reference field="3" count="1" selected="0">
            <x v="8"/>
          </reference>
          <reference field="4" count="1">
            <x v="0"/>
          </reference>
        </references>
      </pivotArea>
    </format>
    <format dxfId="108">
      <pivotArea dataOnly="0" labelOnly="1" outline="0" fieldPosition="0">
        <references count="2">
          <reference field="3" count="1" selected="0">
            <x v="7"/>
          </reference>
          <reference field="4" count="1">
            <x v="0"/>
          </reference>
        </references>
      </pivotArea>
    </format>
    <format dxfId="107">
      <pivotArea dataOnly="0" labelOnly="1" outline="0" fieldPosition="0">
        <references count="2">
          <reference field="3" count="1" selected="0">
            <x v="1"/>
          </reference>
          <reference field="4" count="1">
            <x v="1"/>
          </reference>
        </references>
      </pivotArea>
    </format>
    <format dxfId="106">
      <pivotArea dataOnly="0" labelOnly="1" outline="0" fieldPosition="0">
        <references count="2">
          <reference field="3" count="1" selected="0">
            <x v="2"/>
          </reference>
          <reference field="4" count="1">
            <x v="1"/>
          </reference>
        </references>
      </pivotArea>
    </format>
    <format dxfId="105">
      <pivotArea dataOnly="0" labelOnly="1" outline="0" fieldPosition="0">
        <references count="2">
          <reference field="3" count="1" selected="0">
            <x v="14"/>
          </reference>
          <reference field="4" count="1">
            <x v="2"/>
          </reference>
        </references>
      </pivotArea>
    </format>
    <format dxfId="104">
      <pivotArea dataOnly="0" labelOnly="1" outline="0" fieldPosition="0">
        <references count="2">
          <reference field="3" count="1" selected="0">
            <x v="3"/>
          </reference>
          <reference field="4" count="1">
            <x v="1"/>
          </reference>
        </references>
      </pivotArea>
    </format>
    <format dxfId="103">
      <pivotArea dataOnly="0" labelOnly="1" outline="0" fieldPosition="0">
        <references count="2">
          <reference field="3" count="1" selected="0">
            <x v="4"/>
          </reference>
          <reference field="4" count="1">
            <x v="1"/>
          </reference>
        </references>
      </pivotArea>
    </format>
    <format dxfId="102">
      <pivotArea dataOnly="0" labelOnly="1" outline="0" fieldPosition="0">
        <references count="2">
          <reference field="3" count="1" selected="0">
            <x v="6"/>
          </reference>
          <reference field="4" count="1">
            <x v="2"/>
          </reference>
        </references>
      </pivotArea>
    </format>
    <format dxfId="101">
      <pivotArea dataOnly="0" labelOnly="1" outline="0" fieldPosition="0">
        <references count="2">
          <reference field="3" count="1" selected="0">
            <x v="12"/>
          </reference>
          <reference field="4" count="1">
            <x v="0"/>
          </reference>
        </references>
      </pivotArea>
    </format>
    <format dxfId="100">
      <pivotArea dataOnly="0" labelOnly="1" outline="0" fieldPosition="0">
        <references count="2">
          <reference field="3" count="1" selected="0">
            <x v="10"/>
          </reference>
          <reference field="4" count="1">
            <x v="0"/>
          </reference>
        </references>
      </pivotArea>
    </format>
    <format dxfId="99">
      <pivotArea dataOnly="0" labelOnly="1" outline="0" fieldPosition="0">
        <references count="2">
          <reference field="3" count="1" selected="0">
            <x v="5"/>
          </reference>
          <reference field="4" count="1">
            <x v="2"/>
          </reference>
        </references>
      </pivotArea>
    </format>
    <format dxfId="98">
      <pivotArea dataOnly="0" labelOnly="1" outline="0" fieldPosition="0">
        <references count="2">
          <reference field="3" count="1" selected="0">
            <x v="13"/>
          </reference>
          <reference field="4" count="1">
            <x v="0"/>
          </reference>
        </references>
      </pivotArea>
    </format>
    <format dxfId="97">
      <pivotArea dataOnly="0" labelOnly="1" outline="0" fieldPosition="0">
        <references count="2">
          <reference field="3" count="1" selected="0">
            <x v="11"/>
          </reference>
          <reference field="4" count="1">
            <x v="0"/>
          </reference>
        </references>
      </pivotArea>
    </format>
    <format dxfId="96">
      <pivotArea outline="0" fieldPosition="0">
        <references count="2">
          <reference field="3" count="0" selected="0"/>
          <reference field="4" count="0" selected="0"/>
        </references>
      </pivotArea>
    </format>
    <format dxfId="95">
      <pivotArea dataOnly="0" labelOnly="1" outline="0" fieldPosition="0">
        <references count="1">
          <reference field="3" count="0"/>
        </references>
      </pivotArea>
    </format>
    <format dxfId="94">
      <pivotArea dataOnly="0" labelOnly="1" outline="0" fieldPosition="0">
        <references count="2">
          <reference field="3" count="1" selected="0">
            <x v="9"/>
          </reference>
          <reference field="4" count="1">
            <x v="0"/>
          </reference>
        </references>
      </pivotArea>
    </format>
    <format dxfId="93">
      <pivotArea dataOnly="0" labelOnly="1" outline="0" fieldPosition="0">
        <references count="2">
          <reference field="3" count="1" selected="0">
            <x v="0"/>
          </reference>
          <reference field="4" count="1">
            <x v="0"/>
          </reference>
        </references>
      </pivotArea>
    </format>
    <format dxfId="92">
      <pivotArea dataOnly="0" labelOnly="1" outline="0" fieldPosition="0">
        <references count="2">
          <reference field="3" count="1" selected="0">
            <x v="8"/>
          </reference>
          <reference field="4" count="1">
            <x v="0"/>
          </reference>
        </references>
      </pivotArea>
    </format>
    <format dxfId="91">
      <pivotArea dataOnly="0" labelOnly="1" outline="0" fieldPosition="0">
        <references count="2">
          <reference field="3" count="1" selected="0">
            <x v="7"/>
          </reference>
          <reference field="4" count="1">
            <x v="0"/>
          </reference>
        </references>
      </pivotArea>
    </format>
    <format dxfId="90">
      <pivotArea dataOnly="0" labelOnly="1" outline="0" fieldPosition="0">
        <references count="2">
          <reference field="3" count="1" selected="0">
            <x v="1"/>
          </reference>
          <reference field="4" count="1">
            <x v="1"/>
          </reference>
        </references>
      </pivotArea>
    </format>
    <format dxfId="89">
      <pivotArea dataOnly="0" labelOnly="1" outline="0" fieldPosition="0">
        <references count="2">
          <reference field="3" count="1" selected="0">
            <x v="2"/>
          </reference>
          <reference field="4" count="1">
            <x v="1"/>
          </reference>
        </references>
      </pivotArea>
    </format>
    <format dxfId="88">
      <pivotArea dataOnly="0" labelOnly="1" outline="0" fieldPosition="0">
        <references count="2">
          <reference field="3" count="1" selected="0">
            <x v="14"/>
          </reference>
          <reference field="4" count="1">
            <x v="2"/>
          </reference>
        </references>
      </pivotArea>
    </format>
    <format dxfId="87">
      <pivotArea dataOnly="0" labelOnly="1" outline="0" fieldPosition="0">
        <references count="2">
          <reference field="3" count="1" selected="0">
            <x v="3"/>
          </reference>
          <reference field="4" count="1">
            <x v="1"/>
          </reference>
        </references>
      </pivotArea>
    </format>
    <format dxfId="86">
      <pivotArea dataOnly="0" labelOnly="1" outline="0" fieldPosition="0">
        <references count="2">
          <reference field="3" count="1" selected="0">
            <x v="4"/>
          </reference>
          <reference field="4" count="1">
            <x v="1"/>
          </reference>
        </references>
      </pivotArea>
    </format>
    <format dxfId="85">
      <pivotArea dataOnly="0" labelOnly="1" outline="0" fieldPosition="0">
        <references count="2">
          <reference field="3" count="1" selected="0">
            <x v="6"/>
          </reference>
          <reference field="4" count="1">
            <x v="2"/>
          </reference>
        </references>
      </pivotArea>
    </format>
    <format dxfId="84">
      <pivotArea dataOnly="0" labelOnly="1" outline="0" fieldPosition="0">
        <references count="2">
          <reference field="3" count="1" selected="0">
            <x v="12"/>
          </reference>
          <reference field="4" count="1">
            <x v="0"/>
          </reference>
        </references>
      </pivotArea>
    </format>
    <format dxfId="83">
      <pivotArea dataOnly="0" labelOnly="1" outline="0" fieldPosition="0">
        <references count="2">
          <reference field="3" count="1" selected="0">
            <x v="10"/>
          </reference>
          <reference field="4" count="1">
            <x v="0"/>
          </reference>
        </references>
      </pivotArea>
    </format>
    <format dxfId="82">
      <pivotArea dataOnly="0" labelOnly="1" outline="0" fieldPosition="0">
        <references count="2">
          <reference field="3" count="1" selected="0">
            <x v="5"/>
          </reference>
          <reference field="4" count="1">
            <x v="2"/>
          </reference>
        </references>
      </pivotArea>
    </format>
    <format dxfId="81">
      <pivotArea dataOnly="0" labelOnly="1" outline="0" fieldPosition="0">
        <references count="2">
          <reference field="3" count="1" selected="0">
            <x v="13"/>
          </reference>
          <reference field="4" count="1">
            <x v="0"/>
          </reference>
        </references>
      </pivotArea>
    </format>
    <format dxfId="80">
      <pivotArea dataOnly="0" labelOnly="1" outline="0" fieldPosition="0">
        <references count="2">
          <reference field="3" count="1" selected="0">
            <x v="11"/>
          </reference>
          <reference field="4" count="1">
            <x v="0"/>
          </reference>
        </references>
      </pivotArea>
    </format>
    <format dxfId="79">
      <pivotArea field="3" grandRow="1" outline="0" axis="axisRow" fieldPosition="0">
        <references count="1">
          <reference field="4294967294" count="1" selected="0">
            <x v="0"/>
          </reference>
        </references>
      </pivotArea>
    </format>
    <format dxfId="78">
      <pivotArea grandRow="1" outline="0" collapsedLevelsAreSubtotals="1" fieldPosition="0"/>
    </format>
    <format dxfId="77">
      <pivotArea dataOnly="0" labelOnly="1" grandRow="1" outline="0" fieldPosition="0"/>
    </format>
    <format dxfId="76">
      <pivotArea field="3" type="button" dataOnly="0" labelOnly="1" outline="0" axis="axisRow" fieldPosition="0"/>
    </format>
    <format dxfId="75">
      <pivotArea field="4" type="button" dataOnly="0" labelOnly="1" outline="0" axis="axisRow" fieldPosition="1"/>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
    <pivotHierarchy dragToRow="0" dragToCol="0" dragToPage="0" dragToData="1"/>
    <pivotHierarchy dragToRow="0" dragToCol="0" dragToPage="0" dragToData="1" caption="Orders "/>
    <pivotHierarchy dragToRow="0" dragToCol="0" dragToPage="0" dragToData="1" caption="Avgerage Price "/>
    <pivotHierarchy dragToRow="0" dragToCol="0" dragToPage="0" dragToData="1" caption="Customers "/>
    <pivotHierarchy dragToRow="0" dragToCol="0" dragToPage="0" dragToData="1" caption="Products "/>
    <pivotHierarchy dragToRow="0" dragToCol="0" dragToPage="0" dragToData="1" caption="AOV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2" showRowHeaders="0" showColHeaders="1" showRowStripes="0" showColStripes="0" showLastColumn="1"/>
  <filters count="1">
    <filter fld="2" type="count" id="1" iMeasureHier="30">
      <autoFilter ref="A1">
        <filterColumn colId="0">
          <top10 val="10" filterVal="10"/>
        </filterColumn>
      </autoFilter>
    </filter>
  </filters>
  <rowHierarchiesUsage count="2">
    <rowHierarchyUsage hierarchyUsage="18"/>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638745-5127-4269-96D7-CE752B24F3BC}" name="PivotTable2" cacheId="0" applyNumberFormats="0" applyBorderFormats="0" applyFontFormats="0" applyPatternFormats="0" applyAlignmentFormats="0" applyWidthHeightFormats="1" dataCaption="Values" tag="813f187d-8032-4d34-9cd4-c6919765f934" updatedVersion="8" minRefreshableVersion="3" showDrill="0" useAutoFormatting="1" subtotalHiddenItems="1" itemPrintTitles="1" createdVersion="8" indent="0" compact="0" compactData="0" multipleFieldFilters="0" rowHeaderCaption="Country">
  <location ref="I3:N14" firstHeaderRow="0" firstDataRow="1" firstDataCol="1"/>
  <pivotFields count="6">
    <pivotField dataField="1" compact="0" outline="0" showAll="0" defaultSubtotal="0"/>
    <pivotField dataField="1" compact="0" outline="0" showAll="0" defaultSubtotal="0"/>
    <pivotField dataField="1" compact="0" outline="0" showAll="0" defaultSubtotal="0"/>
    <pivotField axis="axisRow" compact="0" allDrilled="1" outline="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s>
  <rowFields count="1">
    <field x="3"/>
  </rowFields>
  <rowItems count="11">
    <i>
      <x v="1"/>
    </i>
    <i>
      <x v="2"/>
    </i>
    <i>
      <x v="9"/>
    </i>
    <i>
      <x v="8"/>
    </i>
    <i>
      <x v="6"/>
    </i>
    <i>
      <x v="7"/>
    </i>
    <i>
      <x v="3"/>
    </i>
    <i>
      <x v="4"/>
    </i>
    <i>
      <x v="5"/>
    </i>
    <i>
      <x/>
    </i>
    <i t="grand">
      <x/>
    </i>
  </rowItems>
  <colFields count="1">
    <field x="-2"/>
  </colFields>
  <colItems count="5">
    <i>
      <x/>
    </i>
    <i i="1">
      <x v="1"/>
    </i>
    <i i="2">
      <x v="2"/>
    </i>
    <i i="3">
      <x v="3"/>
    </i>
    <i i="4">
      <x v="4"/>
    </i>
  </colItems>
  <dataFields count="5">
    <dataField name="Total Revenue" fld="0" subtotal="count" baseField="3" baseItem="0"/>
    <dataField name="Orders " fld="1" subtotal="count" baseField="0" baseItem="0"/>
    <dataField name="AOV " fld="4" subtotal="count" baseField="0" baseItem="0"/>
    <dataField name="Products " fld="2" subtotal="count" baseField="0" baseItem="0"/>
    <dataField name="Customers " fld="5" subtotal="count" baseField="0" baseItem="0"/>
  </dataFields>
  <formats count="26">
    <format dxfId="172">
      <pivotArea dataOnly="0" labelOnly="1" outline="0" fieldPosition="0">
        <references count="1">
          <reference field="4294967294" count="1">
            <x v="0"/>
          </reference>
        </references>
      </pivotArea>
    </format>
    <format dxfId="171">
      <pivotArea field="3" grandRow="1" outline="0" axis="axisRow" fieldPosition="0">
        <references count="1">
          <reference field="4294967294" count="1" selected="0">
            <x v="0"/>
          </reference>
        </references>
      </pivotArea>
    </format>
    <format dxfId="170">
      <pivotArea dataOnly="0" labelOnly="1" grandRow="1" outline="0" offset="IV256" fieldPosition="0"/>
    </format>
    <format dxfId="169">
      <pivotArea dataOnly="0" labelOnly="1" outline="0" fieldPosition="0">
        <references count="1">
          <reference field="4294967294" count="3">
            <x v="1"/>
            <x v="2"/>
            <x v="3"/>
          </reference>
        </references>
      </pivotArea>
    </format>
    <format dxfId="168">
      <pivotArea field="3" grandRow="1" outline="0" axis="axisRow" fieldPosition="0">
        <references count="1">
          <reference field="4294967294" count="3" selected="0">
            <x v="1"/>
            <x v="2"/>
            <x v="3"/>
          </reference>
        </references>
      </pivotArea>
    </format>
    <format dxfId="167">
      <pivotArea dataOnly="0" labelOnly="1" outline="0" fieldPosition="0">
        <references count="1">
          <reference field="4294967294" count="4">
            <x v="0"/>
            <x v="1"/>
            <x v="2"/>
            <x v="3"/>
          </reference>
        </references>
      </pivotArea>
    </format>
    <format dxfId="166">
      <pivotArea grandRow="1" outline="0" collapsedLevelsAreSubtotals="1" fieldPosition="0"/>
    </format>
    <format dxfId="165">
      <pivotArea field="3" type="button" dataOnly="0" labelOnly="1" outline="0" axis="axisRow" fieldPosition="0"/>
    </format>
    <format dxfId="164">
      <pivotArea dataOnly="0" labelOnly="1" grandRow="1" outline="0" offset="A256" fieldPosition="0"/>
    </format>
    <format dxfId="163">
      <pivotArea dataOnly="0" labelOnly="1" grandRow="1" outline="0" fieldPosition="0"/>
    </format>
    <format dxfId="162">
      <pivotArea field="3" type="button" dataOnly="0" labelOnly="1" outline="0" axis="axisRow" fieldPosition="0"/>
    </format>
    <format dxfId="161">
      <pivotArea type="all" dataOnly="0" outline="0" fieldPosition="0"/>
    </format>
    <format dxfId="160">
      <pivotArea outline="0" collapsedLevelsAreSubtotals="1" fieldPosition="0"/>
    </format>
    <format dxfId="159">
      <pivotArea field="3" type="button" dataOnly="0" labelOnly="1" outline="0" axis="axisRow" fieldPosition="0"/>
    </format>
    <format dxfId="158">
      <pivotArea dataOnly="0" labelOnly="1" grandRow="1" outline="0" fieldPosition="0"/>
    </format>
    <format dxfId="157">
      <pivotArea dataOnly="0" labelOnly="1" outline="0" fieldPosition="0">
        <references count="1">
          <reference field="4294967294" count="4">
            <x v="0"/>
            <x v="1"/>
            <x v="2"/>
            <x v="3"/>
          </reference>
        </references>
      </pivotArea>
    </format>
    <format dxfId="156">
      <pivotArea dataOnly="0" labelOnly="1" outline="0" fieldPosition="0">
        <references count="1">
          <reference field="3" count="0"/>
        </references>
      </pivotArea>
    </format>
    <format dxfId="155">
      <pivotArea dataOnly="0" labelOnly="1" outline="0" fieldPosition="0">
        <references count="1">
          <reference field="3" count="0"/>
        </references>
      </pivotArea>
    </format>
    <format dxfId="154">
      <pivotArea dataOnly="0" labelOnly="1" outline="0" fieldPosition="0">
        <references count="1">
          <reference field="3" count="0"/>
        </references>
      </pivotArea>
    </format>
    <format dxfId="153">
      <pivotArea dataOnly="0" labelOnly="1" outline="0" fieldPosition="0">
        <references count="1">
          <reference field="4294967294" count="1">
            <x v="4"/>
          </reference>
        </references>
      </pivotArea>
    </format>
    <format dxfId="152">
      <pivotArea dataOnly="0" labelOnly="1" outline="0" fieldPosition="0">
        <references count="1">
          <reference field="4294967294" count="1">
            <x v="4"/>
          </reference>
        </references>
      </pivotArea>
    </format>
    <format dxfId="151">
      <pivotArea outline="0" fieldPosition="0">
        <references count="1">
          <reference field="3" count="0" selected="0"/>
        </references>
      </pivotArea>
    </format>
    <format dxfId="150">
      <pivotArea outline="0" fieldPosition="0">
        <references count="2">
          <reference field="4294967294" count="1" selected="0">
            <x v="4"/>
          </reference>
          <reference field="3" count="0" selected="0"/>
        </references>
      </pivotArea>
    </format>
    <format dxfId="149">
      <pivotArea outline="0" fieldPosition="0">
        <references count="2">
          <reference field="4294967294" count="4" selected="0">
            <x v="0"/>
            <x v="1"/>
            <x v="2"/>
            <x v="3"/>
          </reference>
          <reference field="3" count="0" selected="0"/>
        </references>
      </pivotArea>
    </format>
    <format dxfId="148">
      <pivotArea outline="0" collapsedLevelsAreSubtotals="1" fieldPosition="0"/>
    </format>
    <format dxfId="147">
      <pivotArea dataOnly="0" labelOnly="1" outline="0" fieldPosition="0">
        <references count="1">
          <reference field="4294967294" count="5">
            <x v="0"/>
            <x v="1"/>
            <x v="2"/>
            <x v="3"/>
            <x v="4"/>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caption="Orders "/>
    <pivotHierarchy dragToRow="0" dragToCol="0" dragToPage="0" dragToData="1"/>
    <pivotHierarchy dragToRow="0" dragToCol="0" dragToPage="0" dragToData="1" caption="Customers "/>
    <pivotHierarchy dragToRow="0" dragToCol="0" dragToPage="0" dragToData="1" caption="Products "/>
    <pivotHierarchy dragToRow="0" dragToCol="0" dragToPage="0" dragToData="1" caption="AOV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2" showRowHeaders="0" showColHeaders="1" showRowStripes="0" showColStripes="0" showLastColumn="1"/>
  <filters count="1">
    <filter fld="3" type="count" id="1" iMeasureHier="30">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4D5209-A0BB-4195-AD97-8CD3CE5C5131}" name="PivotTable1" cacheId="30" applyNumberFormats="0" applyBorderFormats="0" applyFontFormats="0" applyPatternFormats="0" applyAlignmentFormats="0" applyWidthHeightFormats="1" dataCaption="Values" tag="fa4557d5-d3f6-40cc-895b-9db8b92fe339" updatedVersion="8" minRefreshableVersion="5" useAutoFormatting="1" subtotalHiddenItems="1" itemPrintTitles="1" createdVersion="8" indent="0" outline="1" outlineData="1" multipleFieldFilters="0">
  <location ref="A1:E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name="AvgOrderRev" fld="2" subtotal="count" baseField="0" baseItem="0"/>
    <dataField name="Sum of Quantity" fld="1" baseField="0" baseItem="0"/>
    <dataField fld="3" subtotal="count" baseField="0" baseItem="0"/>
    <dataField fld="5" subtotal="count" baseField="0" baseItem="0"/>
  </dataFields>
  <pivotHierarchies count="5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8" name="[Dim_Orders].[Date]">
      <autoFilter ref="A1">
        <filterColumn colId="0">
          <customFilters and="1">
            <customFilter operator="greaterThanOrEqual" val="40544"/>
            <customFilter operator="lessThanOrEqual" val="41274"/>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09C789-38FE-4959-9DEA-D9C1C365A0AD}" sourceName="[Dim_Date].[Year]">
  <pivotTables>
    <pivotTable tabId="3" name="PivotTable1"/>
  </pivotTables>
  <data>
    <olap pivotCacheId="433563593">
      <levels count="2">
        <level uniqueName="[Dim_Date].[Year].[(All)]" sourceCaption="(All)" count="0"/>
        <level uniqueName="[Dim_Date].[Year].[Year]" sourceCaption="Year" count="4">
          <ranges>
            <range startItem="0">
              <i n="[Dim_Date].[Year].&amp;[2011]" c="2011"/>
              <i n="[Dim_Date].[Year].&amp;[2012]" c="2012"/>
              <i n="[Dim_Date].[Year].&amp;[2013]" c="2013"/>
              <i n="[Dim_Date].[Year].&amp;[2014]" c="2014" nd="1"/>
            </range>
          </ranges>
        </level>
      </levels>
      <selections count="1">
        <selection n="[Dim_Date].[Year].[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pivotTable tabId="4294967295" name="PivotChartTable4"/>
        <pivotTable tabId="4294967295" name="PivotChartTable5"/>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Name" xr10:uid="{70E2BD99-114E-4038-B77F-922B6914249F}" sourceName="[Dim_Products].[DivisionName]">
  <pivotTables>
    <pivotTable tabId="3" name="PivotTable1"/>
  </pivotTables>
  <data>
    <olap pivotCacheId="433563593">
      <levels count="2">
        <level uniqueName="[Dim_Products].[DivisionName].[(All)]" sourceCaption="(All)" count="0"/>
        <level uniqueName="[Dim_Products].[DivisionName].[DivisionName]" sourceCaption="DivisionName" count="3">
          <ranges>
            <range startItem="0">
              <i n="[Dim_Products].[DivisionName].&amp;[Health Insurance]" c="Health Insurance"/>
              <i n="[Dim_Products].[DivisionName].&amp;[Life Insurance]" c="Life Insurance"/>
              <i n="[Dim_Products].[DivisionName].&amp;[Property Insurance]" c="Property Insurance"/>
            </range>
          </ranges>
        </level>
      </levels>
      <selections count="1">
        <selection n="[Dim_Products].[DivisionName].[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pivotTable tabId="4294967295" name="PivotChartTable4"/>
        <pivotTable tabId="4294967295" name="PivotChartTable5"/>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CB6D14D-0EC6-4685-B430-7551B4B07067}" cache="Slicer_Year" caption="Year" level="1" rowHeight="241300"/>
  <slicer name="DivisionName" xr10:uid="{1D8C2140-EF56-460C-9E55-DD71138D1C6A}" cache="Slicer_DivisionName" caption="Line of Business"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3"/>
  <sheetViews>
    <sheetView tabSelected="1" workbookViewId="0">
      <selection sqref="A1:G2"/>
    </sheetView>
  </sheetViews>
  <sheetFormatPr defaultRowHeight="15" x14ac:dyDescent="0.25"/>
  <cols>
    <col min="1" max="1" width="18.42578125" customWidth="1"/>
    <col min="2" max="2" width="18" bestFit="1" customWidth="1"/>
    <col min="3" max="3" width="13.85546875" bestFit="1" customWidth="1"/>
    <col min="4" max="4" width="9.140625" bestFit="1" customWidth="1"/>
    <col min="5" max="5" width="14.5703125" customWidth="1"/>
    <col min="6" max="6" width="19.5703125" bestFit="1" customWidth="1"/>
    <col min="7" max="7" width="10.85546875" bestFit="1" customWidth="1"/>
    <col min="8" max="8" width="9.140625" bestFit="1" customWidth="1"/>
    <col min="9" max="9" width="15.42578125" bestFit="1" customWidth="1"/>
    <col min="10" max="10" width="13.85546875" bestFit="1" customWidth="1"/>
    <col min="11" max="11" width="7.42578125" bestFit="1" customWidth="1"/>
    <col min="12" max="12" width="7.140625" bestFit="1" customWidth="1"/>
    <col min="13" max="13" width="9.140625" bestFit="1" customWidth="1"/>
    <col min="14" max="15" width="11.85546875" bestFit="1" customWidth="1"/>
  </cols>
  <sheetData>
    <row r="1" spans="1:14" ht="16.5" customHeight="1" x14ac:dyDescent="0.25">
      <c r="A1" s="44" t="s">
        <v>41</v>
      </c>
      <c r="B1" s="45"/>
      <c r="C1" s="45"/>
      <c r="D1" s="45"/>
      <c r="E1" s="45"/>
      <c r="F1" s="45"/>
      <c r="G1" s="46"/>
      <c r="I1" s="44" t="s">
        <v>35</v>
      </c>
      <c r="J1" s="45"/>
      <c r="K1" s="45"/>
      <c r="L1" s="45"/>
      <c r="M1" s="45"/>
      <c r="N1" s="46"/>
    </row>
    <row r="2" spans="1:14" ht="15.75" thickBot="1" x14ac:dyDescent="0.3">
      <c r="A2" s="47"/>
      <c r="B2" s="48"/>
      <c r="C2" s="48"/>
      <c r="D2" s="48"/>
      <c r="E2" s="48"/>
      <c r="F2" s="48"/>
      <c r="G2" s="49"/>
      <c r="I2" s="47"/>
      <c r="J2" s="48"/>
      <c r="K2" s="48"/>
      <c r="L2" s="48"/>
      <c r="M2" s="48"/>
      <c r="N2" s="49"/>
    </row>
    <row r="3" spans="1:14" ht="15.75" thickBot="1" x14ac:dyDescent="0.3">
      <c r="A3" s="7" t="s">
        <v>31</v>
      </c>
      <c r="B3" s="27" t="s">
        <v>36</v>
      </c>
      <c r="C3" s="27" t="s">
        <v>17</v>
      </c>
      <c r="D3" s="20" t="s">
        <v>37</v>
      </c>
      <c r="E3" s="21" t="s">
        <v>38</v>
      </c>
      <c r="F3" s="21" t="s">
        <v>32</v>
      </c>
      <c r="G3" s="22" t="s">
        <v>39</v>
      </c>
      <c r="I3" s="3" t="s">
        <v>17</v>
      </c>
      <c r="J3" s="20" t="s">
        <v>16</v>
      </c>
      <c r="K3" s="21" t="s">
        <v>38</v>
      </c>
      <c r="L3" s="21" t="s">
        <v>40</v>
      </c>
      <c r="M3" s="22" t="s">
        <v>39</v>
      </c>
      <c r="N3" s="22" t="s">
        <v>42</v>
      </c>
    </row>
    <row r="4" spans="1:14" x14ac:dyDescent="0.25">
      <c r="A4" s="4" t="s">
        <v>26</v>
      </c>
      <c r="B4" s="12" t="s">
        <v>33</v>
      </c>
      <c r="C4" s="12" t="s">
        <v>9</v>
      </c>
      <c r="D4" s="13">
        <v>29272.262299999999</v>
      </c>
      <c r="E4" s="12">
        <v>11</v>
      </c>
      <c r="F4" s="13">
        <v>2661.1147545454546</v>
      </c>
      <c r="G4" s="8">
        <v>957</v>
      </c>
      <c r="I4" s="4" t="s">
        <v>7</v>
      </c>
      <c r="J4" s="11">
        <v>48326.415000000001</v>
      </c>
      <c r="K4" s="12">
        <v>24</v>
      </c>
      <c r="L4" s="13">
        <v>2013.600625</v>
      </c>
      <c r="M4" s="12">
        <v>1875</v>
      </c>
      <c r="N4" s="8">
        <v>2</v>
      </c>
    </row>
    <row r="5" spans="1:14" x14ac:dyDescent="0.25">
      <c r="A5" s="5" t="s">
        <v>20</v>
      </c>
      <c r="B5" s="15" t="s">
        <v>33</v>
      </c>
      <c r="C5" s="15" t="s">
        <v>12</v>
      </c>
      <c r="D5" s="16">
        <v>27419.039400000001</v>
      </c>
      <c r="E5" s="15">
        <v>12</v>
      </c>
      <c r="F5" s="16">
        <v>2284.91995</v>
      </c>
      <c r="G5" s="9">
        <v>976</v>
      </c>
      <c r="I5" s="5" t="s">
        <v>8</v>
      </c>
      <c r="J5" s="14">
        <v>36072.53</v>
      </c>
      <c r="K5" s="15">
        <v>24</v>
      </c>
      <c r="L5" s="16">
        <v>1503.0220833333333</v>
      </c>
      <c r="M5" s="15">
        <v>1712</v>
      </c>
      <c r="N5" s="9">
        <v>2</v>
      </c>
    </row>
    <row r="6" spans="1:14" x14ac:dyDescent="0.25">
      <c r="A6" s="5" t="s">
        <v>23</v>
      </c>
      <c r="B6" s="15" t="s">
        <v>34</v>
      </c>
      <c r="C6" s="15" t="s">
        <v>29</v>
      </c>
      <c r="D6" s="16">
        <v>26181.140100000001</v>
      </c>
      <c r="E6" s="15">
        <v>12</v>
      </c>
      <c r="F6" s="16">
        <v>2181.7616750000002</v>
      </c>
      <c r="G6" s="9">
        <v>848</v>
      </c>
      <c r="I6" s="5" t="s">
        <v>15</v>
      </c>
      <c r="J6" s="14">
        <v>35240.0049</v>
      </c>
      <c r="K6" s="15">
        <v>24</v>
      </c>
      <c r="L6" s="16">
        <v>1468.3335374999999</v>
      </c>
      <c r="M6" s="15">
        <v>1716</v>
      </c>
      <c r="N6" s="9">
        <v>2</v>
      </c>
    </row>
    <row r="7" spans="1:14" x14ac:dyDescent="0.25">
      <c r="A7" s="5" t="s">
        <v>22</v>
      </c>
      <c r="B7" s="15" t="s">
        <v>33</v>
      </c>
      <c r="C7" s="15" t="s">
        <v>28</v>
      </c>
      <c r="D7" s="16">
        <v>25149.4876</v>
      </c>
      <c r="E7" s="15">
        <v>12</v>
      </c>
      <c r="F7" s="16">
        <v>2095.7906333333335</v>
      </c>
      <c r="G7" s="9">
        <v>1027</v>
      </c>
      <c r="I7" s="5" t="s">
        <v>14</v>
      </c>
      <c r="J7" s="14">
        <v>34244.714999999997</v>
      </c>
      <c r="K7" s="15">
        <v>24</v>
      </c>
      <c r="L7" s="16">
        <v>1426.8631249999999</v>
      </c>
      <c r="M7" s="15">
        <v>1589</v>
      </c>
      <c r="N7" s="9">
        <v>2</v>
      </c>
    </row>
    <row r="8" spans="1:14" x14ac:dyDescent="0.25">
      <c r="A8" s="5" t="s">
        <v>18</v>
      </c>
      <c r="B8" s="15" t="s">
        <v>33</v>
      </c>
      <c r="C8" s="15" t="s">
        <v>7</v>
      </c>
      <c r="D8" s="16">
        <v>24996.724999999999</v>
      </c>
      <c r="E8" s="15">
        <v>12</v>
      </c>
      <c r="F8" s="16">
        <v>2083.0604166666667</v>
      </c>
      <c r="G8" s="9">
        <v>809</v>
      </c>
      <c r="I8" s="5" t="s">
        <v>12</v>
      </c>
      <c r="J8" s="14">
        <v>31983.969400000002</v>
      </c>
      <c r="K8" s="15">
        <v>14</v>
      </c>
      <c r="L8" s="16">
        <v>2284.5692428571429</v>
      </c>
      <c r="M8" s="15">
        <v>1239</v>
      </c>
      <c r="N8" s="9">
        <v>2</v>
      </c>
    </row>
    <row r="9" spans="1:14" x14ac:dyDescent="0.25">
      <c r="A9" s="5" t="s">
        <v>25</v>
      </c>
      <c r="B9" s="15" t="s">
        <v>34</v>
      </c>
      <c r="C9" s="15" t="s">
        <v>7</v>
      </c>
      <c r="D9" s="16">
        <v>23329.69</v>
      </c>
      <c r="E9" s="15">
        <v>12</v>
      </c>
      <c r="F9" s="16">
        <v>1944.1408333333331</v>
      </c>
      <c r="G9" s="9">
        <v>1066</v>
      </c>
      <c r="I9" s="5" t="s">
        <v>13</v>
      </c>
      <c r="J9" s="14">
        <v>30524.989300000001</v>
      </c>
      <c r="K9" s="15">
        <v>19</v>
      </c>
      <c r="L9" s="16">
        <v>1606.5783842105263</v>
      </c>
      <c r="M9" s="15">
        <v>1217</v>
      </c>
      <c r="N9" s="9">
        <v>2</v>
      </c>
    </row>
    <row r="10" spans="1:14" x14ac:dyDescent="0.25">
      <c r="A10" s="5" t="s">
        <v>24</v>
      </c>
      <c r="B10" s="15" t="s">
        <v>33</v>
      </c>
      <c r="C10" s="15" t="s">
        <v>11</v>
      </c>
      <c r="D10" s="16">
        <v>22957.564999999999</v>
      </c>
      <c r="E10" s="15">
        <v>12</v>
      </c>
      <c r="F10" s="16">
        <v>1913.1304166666666</v>
      </c>
      <c r="G10" s="9">
        <v>877</v>
      </c>
      <c r="I10" s="5" t="s">
        <v>9</v>
      </c>
      <c r="J10" s="14">
        <v>29272.262299999999</v>
      </c>
      <c r="K10" s="15">
        <v>11</v>
      </c>
      <c r="L10" s="16">
        <v>2661.1147545454546</v>
      </c>
      <c r="M10" s="15">
        <v>957</v>
      </c>
      <c r="N10" s="9">
        <v>1</v>
      </c>
    </row>
    <row r="11" spans="1:14" x14ac:dyDescent="0.25">
      <c r="A11" s="5" t="s">
        <v>19</v>
      </c>
      <c r="B11" s="15" t="s">
        <v>33</v>
      </c>
      <c r="C11" s="15" t="s">
        <v>14</v>
      </c>
      <c r="D11" s="16">
        <v>22955.5075</v>
      </c>
      <c r="E11" s="15">
        <v>12</v>
      </c>
      <c r="F11" s="16">
        <v>1912.9589583333334</v>
      </c>
      <c r="G11" s="9">
        <v>862</v>
      </c>
      <c r="I11" s="5" t="s">
        <v>10</v>
      </c>
      <c r="J11" s="14">
        <v>28784.924999999999</v>
      </c>
      <c r="K11" s="15">
        <v>24</v>
      </c>
      <c r="L11" s="16">
        <v>1199.371875</v>
      </c>
      <c r="M11" s="15">
        <v>1521</v>
      </c>
      <c r="N11" s="9">
        <v>2</v>
      </c>
    </row>
    <row r="12" spans="1:14" x14ac:dyDescent="0.25">
      <c r="A12" s="5" t="s">
        <v>21</v>
      </c>
      <c r="B12" s="15" t="s">
        <v>33</v>
      </c>
      <c r="C12" s="15" t="s">
        <v>6</v>
      </c>
      <c r="D12" s="16">
        <v>22704.181499999999</v>
      </c>
      <c r="E12" s="15">
        <v>12</v>
      </c>
      <c r="F12" s="16">
        <v>1892.0151249999999</v>
      </c>
      <c r="G12" s="9">
        <v>973</v>
      </c>
      <c r="I12" s="5" t="s">
        <v>11</v>
      </c>
      <c r="J12" s="14">
        <v>28703.599999999999</v>
      </c>
      <c r="K12" s="15">
        <v>17</v>
      </c>
      <c r="L12" s="16">
        <v>1688.4470588235292</v>
      </c>
      <c r="M12" s="15">
        <v>1175</v>
      </c>
      <c r="N12" s="9">
        <v>2</v>
      </c>
    </row>
    <row r="13" spans="1:14" ht="15.75" thickBot="1" x14ac:dyDescent="0.3">
      <c r="A13" s="6" t="s">
        <v>27</v>
      </c>
      <c r="B13" s="18" t="s">
        <v>33</v>
      </c>
      <c r="C13" s="18" t="s">
        <v>30</v>
      </c>
      <c r="D13" s="19">
        <v>22678.280500000001</v>
      </c>
      <c r="E13" s="18">
        <v>11</v>
      </c>
      <c r="F13" s="19">
        <v>2061.6618636363637</v>
      </c>
      <c r="G13" s="10">
        <v>1061</v>
      </c>
      <c r="I13" s="6" t="s">
        <v>6</v>
      </c>
      <c r="J13" s="17">
        <v>27527.159</v>
      </c>
      <c r="K13" s="18">
        <v>14</v>
      </c>
      <c r="L13" s="19">
        <v>1966.2256428571429</v>
      </c>
      <c r="M13" s="18">
        <v>1150</v>
      </c>
      <c r="N13" s="10">
        <v>2</v>
      </c>
    </row>
    <row r="14" spans="1:14" ht="15.75" thickBot="1" x14ac:dyDescent="0.3">
      <c r="A14" s="3" t="s">
        <v>0</v>
      </c>
      <c r="B14" s="28"/>
      <c r="C14" s="29"/>
      <c r="D14" s="23">
        <v>247643.87890000001</v>
      </c>
      <c r="E14" s="24">
        <v>118</v>
      </c>
      <c r="F14" s="25">
        <v>2098.6769398305087</v>
      </c>
      <c r="G14" s="26">
        <v>9456</v>
      </c>
      <c r="I14" s="3" t="s">
        <v>0</v>
      </c>
      <c r="J14" s="23">
        <v>330680.5699</v>
      </c>
      <c r="K14" s="24">
        <v>195</v>
      </c>
      <c r="L14" s="25">
        <v>1695.7977943589744</v>
      </c>
      <c r="M14" s="24">
        <v>14151</v>
      </c>
      <c r="N14" s="26">
        <v>19</v>
      </c>
    </row>
    <row r="16" spans="1:14" ht="15.75" thickBot="1" x14ac:dyDescent="0.3"/>
    <row r="17" spans="1:6" ht="15" customHeight="1" x14ac:dyDescent="0.25">
      <c r="A17" s="44" t="s">
        <v>39</v>
      </c>
      <c r="B17" s="45"/>
      <c r="C17" s="45"/>
      <c r="D17" s="45"/>
      <c r="E17" s="46"/>
      <c r="F17" s="42"/>
    </row>
    <row r="18" spans="1:6" ht="15.75" customHeight="1" thickBot="1" x14ac:dyDescent="0.3">
      <c r="A18" s="47"/>
      <c r="B18" s="48"/>
      <c r="C18" s="48"/>
      <c r="D18" s="48"/>
      <c r="E18" s="49"/>
      <c r="F18" s="42"/>
    </row>
    <row r="19" spans="1:6" ht="15.75" thickBot="1" x14ac:dyDescent="0.3">
      <c r="A19" s="31" t="s">
        <v>61</v>
      </c>
      <c r="B19" s="43" t="s">
        <v>62</v>
      </c>
      <c r="C19" s="20" t="s">
        <v>37</v>
      </c>
      <c r="D19" s="22" t="s">
        <v>39</v>
      </c>
      <c r="E19" s="34" t="s">
        <v>63</v>
      </c>
    </row>
    <row r="20" spans="1:6" x14ac:dyDescent="0.25">
      <c r="A20" s="33" t="s">
        <v>51</v>
      </c>
      <c r="B20" s="33" t="s">
        <v>58</v>
      </c>
      <c r="C20" s="13">
        <v>130344.0575</v>
      </c>
      <c r="D20" s="12">
        <v>5682</v>
      </c>
      <c r="E20" s="36">
        <v>22.552830621294156</v>
      </c>
    </row>
    <row r="21" spans="1:6" x14ac:dyDescent="0.25">
      <c r="A21" s="32" t="s">
        <v>43</v>
      </c>
      <c r="B21" s="32" t="s">
        <v>58</v>
      </c>
      <c r="C21" s="16">
        <v>128759.06540000001</v>
      </c>
      <c r="D21" s="15">
        <v>2713</v>
      </c>
      <c r="E21" s="35">
        <v>41.577512862375684</v>
      </c>
    </row>
    <row r="22" spans="1:6" x14ac:dyDescent="0.25">
      <c r="A22" s="32" t="s">
        <v>50</v>
      </c>
      <c r="B22" s="32" t="s">
        <v>58</v>
      </c>
      <c r="C22" s="16">
        <v>127415.0101</v>
      </c>
      <c r="D22" s="15">
        <v>4018</v>
      </c>
      <c r="E22" s="35">
        <v>31.499775989930015</v>
      </c>
    </row>
    <row r="23" spans="1:6" x14ac:dyDescent="0.25">
      <c r="A23" s="32" t="s">
        <v>49</v>
      </c>
      <c r="B23" s="32" t="s">
        <v>58</v>
      </c>
      <c r="C23" s="16">
        <v>111299.7314</v>
      </c>
      <c r="D23" s="15">
        <v>2458</v>
      </c>
      <c r="E23" s="35">
        <v>45.731845944293994</v>
      </c>
    </row>
    <row r="24" spans="1:6" x14ac:dyDescent="0.25">
      <c r="A24" s="32" t="s">
        <v>44</v>
      </c>
      <c r="B24" s="32" t="s">
        <v>59</v>
      </c>
      <c r="C24" s="16">
        <v>83645.724900000001</v>
      </c>
      <c r="D24" s="15">
        <v>3003</v>
      </c>
      <c r="E24" s="35">
        <v>27.445715895202</v>
      </c>
    </row>
    <row r="25" spans="1:6" x14ac:dyDescent="0.25">
      <c r="A25" s="32" t="s">
        <v>45</v>
      </c>
      <c r="B25" s="32" t="s">
        <v>59</v>
      </c>
      <c r="C25" s="16">
        <v>71599.272400000002</v>
      </c>
      <c r="D25" s="15">
        <v>3196</v>
      </c>
      <c r="E25" s="35">
        <v>21.102572018175589</v>
      </c>
    </row>
    <row r="26" spans="1:6" x14ac:dyDescent="0.25">
      <c r="A26" s="32" t="s">
        <v>56</v>
      </c>
      <c r="B26" s="32" t="s">
        <v>60</v>
      </c>
      <c r="C26" s="16">
        <v>44663.084999999999</v>
      </c>
      <c r="D26" s="15">
        <v>2798</v>
      </c>
      <c r="E26" s="35">
        <v>16.015036407766988</v>
      </c>
    </row>
    <row r="27" spans="1:6" x14ac:dyDescent="0.25">
      <c r="A27" s="32" t="s">
        <v>57</v>
      </c>
      <c r="B27" s="32" t="s">
        <v>59</v>
      </c>
      <c r="C27" s="16">
        <v>43224.83</v>
      </c>
      <c r="D27" s="15">
        <v>1348</v>
      </c>
      <c r="E27" s="35">
        <v>30.958111125000006</v>
      </c>
    </row>
    <row r="28" spans="1:6" x14ac:dyDescent="0.25">
      <c r="A28" s="32" t="s">
        <v>46</v>
      </c>
      <c r="B28" s="32" t="s">
        <v>59</v>
      </c>
      <c r="C28" s="16">
        <v>38850.455000000002</v>
      </c>
      <c r="D28" s="15">
        <v>2221</v>
      </c>
      <c r="E28" s="35">
        <v>16.597692307692309</v>
      </c>
    </row>
    <row r="29" spans="1:6" x14ac:dyDescent="0.25">
      <c r="A29" s="32" t="s">
        <v>48</v>
      </c>
      <c r="B29" s="32" t="s">
        <v>60</v>
      </c>
      <c r="C29" s="16">
        <v>31426.43</v>
      </c>
      <c r="D29" s="15">
        <v>2926</v>
      </c>
      <c r="E29" s="35">
        <v>11.213358208955231</v>
      </c>
    </row>
    <row r="30" spans="1:6" x14ac:dyDescent="0.25">
      <c r="A30" s="32" t="s">
        <v>54</v>
      </c>
      <c r="B30" s="32" t="s">
        <v>58</v>
      </c>
      <c r="C30" s="16">
        <v>30439.474999999999</v>
      </c>
      <c r="D30" s="15">
        <v>2007</v>
      </c>
      <c r="E30" s="35">
        <v>14.87444078947369</v>
      </c>
    </row>
    <row r="31" spans="1:6" x14ac:dyDescent="0.25">
      <c r="A31" s="32" t="s">
        <v>52</v>
      </c>
      <c r="B31" s="32" t="s">
        <v>58</v>
      </c>
      <c r="C31" s="16">
        <v>30399.735000000001</v>
      </c>
      <c r="D31" s="15">
        <v>1642</v>
      </c>
      <c r="E31" s="35">
        <v>15.615890624999997</v>
      </c>
    </row>
    <row r="32" spans="1:6" x14ac:dyDescent="0.25">
      <c r="A32" s="32" t="s">
        <v>47</v>
      </c>
      <c r="B32" s="32" t="s">
        <v>60</v>
      </c>
      <c r="C32" s="16">
        <v>19537.255000000001</v>
      </c>
      <c r="D32" s="15">
        <v>2322</v>
      </c>
      <c r="E32" s="35">
        <v>7.9652127659574461</v>
      </c>
    </row>
    <row r="33" spans="1:5" x14ac:dyDescent="0.25">
      <c r="A33" s="32" t="s">
        <v>55</v>
      </c>
      <c r="B33" s="32" t="s">
        <v>58</v>
      </c>
      <c r="C33" s="16">
        <v>18138.9025</v>
      </c>
      <c r="D33" s="15">
        <v>1586</v>
      </c>
      <c r="E33" s="35">
        <v>11.193062500000005</v>
      </c>
    </row>
    <row r="34" spans="1:5" ht="15.75" thickBot="1" x14ac:dyDescent="0.3">
      <c r="A34" s="32" t="s">
        <v>53</v>
      </c>
      <c r="B34" s="32" t="s">
        <v>58</v>
      </c>
      <c r="C34" s="16">
        <v>17457.46</v>
      </c>
      <c r="D34" s="15">
        <v>1292</v>
      </c>
      <c r="E34" s="35">
        <v>12.728173076923078</v>
      </c>
    </row>
    <row r="35" spans="1:5" ht="15.75" thickBot="1" x14ac:dyDescent="0.3">
      <c r="A35" s="37" t="s">
        <v>0</v>
      </c>
      <c r="B35" s="38"/>
      <c r="C35" s="39">
        <v>927200.48919999995</v>
      </c>
      <c r="D35" s="40">
        <v>39212</v>
      </c>
      <c r="E35" s="41">
        <v>22.708092555328211</v>
      </c>
    </row>
    <row r="162" ht="15.75" thickBot="1" x14ac:dyDescent="0.3"/>
    <row r="163" ht="15.75" thickBot="1" x14ac:dyDescent="0.3"/>
  </sheetData>
  <mergeCells count="3">
    <mergeCell ref="A1:G2"/>
    <mergeCell ref="I1:N2"/>
    <mergeCell ref="A17:E18"/>
  </mergeCells>
  <pageMargins left="0.7" right="0.7" top="0.75" bottom="0.75" header="0.3" footer="0.3"/>
  <pageSetup paperSize="9" orientation="portrait" horizontalDpi="300" verticalDpi="3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14EC2-73E7-4A9B-BB45-3F3A6E93E6F8}">
  <dimension ref="A1"/>
  <sheetViews>
    <sheetView workbookViewId="0"/>
  </sheetViews>
  <sheetFormatPr defaultRowHeight="15" x14ac:dyDescent="0.25"/>
  <cols>
    <col min="1" max="16384" width="9.14062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7C6A-8E13-4631-8170-54FDB4A1B2C3}">
  <dimension ref="A1:E3"/>
  <sheetViews>
    <sheetView workbookViewId="0">
      <selection activeCell="B37" sqref="B37"/>
    </sheetView>
  </sheetViews>
  <sheetFormatPr defaultRowHeight="15" x14ac:dyDescent="0.25"/>
  <cols>
    <col min="1" max="1" width="9.140625" bestFit="1" customWidth="1"/>
    <col min="2" max="2" width="12.7109375" bestFit="1" customWidth="1"/>
    <col min="3" max="3" width="15.42578125" bestFit="1" customWidth="1"/>
    <col min="4" max="4" width="11.85546875" bestFit="1" customWidth="1"/>
    <col min="5" max="5" width="9.28515625" bestFit="1" customWidth="1"/>
    <col min="6" max="6" width="7.5703125" bestFit="1" customWidth="1"/>
  </cols>
  <sheetData>
    <row r="1" spans="1:5" x14ac:dyDescent="0.25">
      <c r="A1" t="s">
        <v>1</v>
      </c>
      <c r="B1" t="s">
        <v>3</v>
      </c>
      <c r="C1" t="s">
        <v>4</v>
      </c>
      <c r="D1" t="s">
        <v>5</v>
      </c>
      <c r="E1" t="s">
        <v>2</v>
      </c>
    </row>
    <row r="2" spans="1:5" x14ac:dyDescent="0.25">
      <c r="A2" s="50">
        <v>927200.48919999995</v>
      </c>
      <c r="B2" s="50">
        <v>1623.8187201401049</v>
      </c>
      <c r="C2" s="51">
        <v>39212</v>
      </c>
      <c r="D2" s="51">
        <v>94</v>
      </c>
      <c r="E2" s="51">
        <v>571</v>
      </c>
    </row>
    <row r="3" spans="1:5" x14ac:dyDescent="0.25">
      <c r="A3" s="2">
        <f>GETPIVOTDATA("[Measures].[TotRev]",$A$1)</f>
        <v>927200.48919999995</v>
      </c>
      <c r="B3" s="2">
        <f>GETPIVOTDATA("[Measures].[AvgOrderRev]",$A$1)</f>
        <v>1623.8187201401049</v>
      </c>
      <c r="C3" s="1">
        <f>GETPIVOTDATA("[Measures].[Sum of Quantity]",$A$1)</f>
        <v>39212</v>
      </c>
      <c r="D3">
        <f>GETPIVOTDATA("[Measures].[NCustomers]",$A$1)</f>
        <v>94</v>
      </c>
      <c r="E3">
        <f>GETPIVOTDATA("[Measures].[OrderQty]",$A$1)</f>
        <v>571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A8CF514A-2C4D-4A14-9F8F-E72F6A9635EB}">
  <ds:schemaRefs/>
</ds:datastoreItem>
</file>

<file path=customXml/itemProps2.xml><?xml version="1.0" encoding="utf-8"?>
<ds:datastoreItem xmlns:ds="http://schemas.openxmlformats.org/officeDocument/2006/customXml" ds:itemID="{4FF504E1-E65F-487E-B9F6-7DBE2F6A0DCA}">
  <ds:schemaRefs/>
</ds:datastoreItem>
</file>

<file path=customXml/itemProps3.xml><?xml version="1.0" encoding="utf-8"?>
<ds:datastoreItem xmlns:ds="http://schemas.openxmlformats.org/officeDocument/2006/customXml" ds:itemID="{26721D1A-6B0A-4808-AE72-EE31A808C9BA}">
  <ds:schemaRefs/>
</ds:datastoreItem>
</file>

<file path=customXml/itemProps4.xml><?xml version="1.0" encoding="utf-8"?>
<ds:datastoreItem xmlns:ds="http://schemas.openxmlformats.org/officeDocument/2006/customXml" ds:itemID="{39C17F9B-603C-465C-9286-CB04E87E3DD4}">
  <ds:schemaRefs/>
</ds:datastoreItem>
</file>

<file path=customXml/itemProps5.xml><?xml version="1.0" encoding="utf-8"?>
<ds:datastoreItem xmlns:ds="http://schemas.openxmlformats.org/officeDocument/2006/customXml" ds:itemID="{2081C3AE-B97B-4DFD-95AC-3B950314B821}">
  <ds:schemaRefs>
    <ds:schemaRef ds:uri="http://schemas.microsoft.com/DataMashup"/>
  </ds:schemaRefs>
</ds:datastoreItem>
</file>

<file path=customXml/itemProps6.xml><?xml version="1.0" encoding="utf-8"?>
<ds:datastoreItem xmlns:ds="http://schemas.openxmlformats.org/officeDocument/2006/customXml" ds:itemID="{8CE75286-F9C1-46CD-BF86-14E57BF019B7}">
  <ds:schemaRefs/>
</ds:datastoreItem>
</file>

<file path=customXml/itemProps7.xml><?xml version="1.0" encoding="utf-8"?>
<ds:datastoreItem xmlns:ds="http://schemas.openxmlformats.org/officeDocument/2006/customXml" ds:itemID="{991B8877-11D3-42C1-BC0D-0F8186058464}">
  <ds:schemaRefs/>
</ds:datastoreItem>
</file>

<file path=customXml/itemProps8.xml><?xml version="1.0" encoding="utf-8"?>
<ds:datastoreItem xmlns:ds="http://schemas.openxmlformats.org/officeDocument/2006/customXml" ds:itemID="{E40AA30E-3D68-4C30-B84D-A3B1556AC30B}">
  <ds:schemaRefs/>
</ds:datastoreItem>
</file>

<file path=customXml/itemProps9.xml><?xml version="1.0" encoding="utf-8"?>
<ds:datastoreItem xmlns:ds="http://schemas.openxmlformats.org/officeDocument/2006/customXml" ds:itemID="{C6DC57FF-43B5-4276-9621-2E431F780CB8}">
  <ds:schemaRefs/>
</ds:datastoreItem>
</file>

<file path=customXml/itemProps10.xml><?xml version="1.0" encoding="utf-8"?>
<ds:datastoreItem xmlns:ds="http://schemas.openxmlformats.org/officeDocument/2006/customXml" ds:itemID="{BCA602F4-8B8D-43B4-AC13-981844961595}">
  <ds:schemaRefs/>
</ds:datastoreItem>
</file>

<file path=customXml/itemProps11.xml><?xml version="1.0" encoding="utf-8"?>
<ds:datastoreItem xmlns:ds="http://schemas.openxmlformats.org/officeDocument/2006/customXml" ds:itemID="{E62EB846-7594-4DB3-BD81-7AB8C929C4C8}">
  <ds:schemaRefs/>
</ds:datastoreItem>
</file>

<file path=customXml/itemProps12.xml><?xml version="1.0" encoding="utf-8"?>
<ds:datastoreItem xmlns:ds="http://schemas.openxmlformats.org/officeDocument/2006/customXml" ds:itemID="{CA232DE1-D65A-4494-8D6E-1BEADD8B50B5}">
  <ds:schemaRefs/>
</ds:datastoreItem>
</file>

<file path=customXml/itemProps13.xml><?xml version="1.0" encoding="utf-8"?>
<ds:datastoreItem xmlns:ds="http://schemas.openxmlformats.org/officeDocument/2006/customXml" ds:itemID="{DC4C7306-17E7-469B-93C8-68C79ADBA7B0}">
  <ds:schemaRefs/>
</ds:datastoreItem>
</file>

<file path=customXml/itemProps14.xml><?xml version="1.0" encoding="utf-8"?>
<ds:datastoreItem xmlns:ds="http://schemas.openxmlformats.org/officeDocument/2006/customXml" ds:itemID="{75552CF2-DB62-4E27-849A-000E359A8CBC}">
  <ds:schemaRefs/>
</ds:datastoreItem>
</file>

<file path=customXml/itemProps15.xml><?xml version="1.0" encoding="utf-8"?>
<ds:datastoreItem xmlns:ds="http://schemas.openxmlformats.org/officeDocument/2006/customXml" ds:itemID="{A70D1EE5-7B19-4665-9348-943763466C2A}">
  <ds:schemaRefs/>
</ds:datastoreItem>
</file>

<file path=customXml/itemProps16.xml><?xml version="1.0" encoding="utf-8"?>
<ds:datastoreItem xmlns:ds="http://schemas.openxmlformats.org/officeDocument/2006/customXml" ds:itemID="{9422232B-A338-4392-996B-C0B74A10CEE9}">
  <ds:schemaRefs/>
</ds:datastoreItem>
</file>

<file path=customXml/itemProps17.xml><?xml version="1.0" encoding="utf-8"?>
<ds:datastoreItem xmlns:ds="http://schemas.openxmlformats.org/officeDocument/2006/customXml" ds:itemID="{32E3BC45-4E65-42DA-B143-C3158BEA2E23}">
  <ds:schemaRefs/>
</ds:datastoreItem>
</file>

<file path=customXml/itemProps18.xml><?xml version="1.0" encoding="utf-8"?>
<ds:datastoreItem xmlns:ds="http://schemas.openxmlformats.org/officeDocument/2006/customXml" ds:itemID="{3BBC5936-55E2-42FD-B567-7391060D3312}">
  <ds:schemaRefs/>
</ds:datastoreItem>
</file>

<file path=customXml/itemProps19.xml><?xml version="1.0" encoding="utf-8"?>
<ds:datastoreItem xmlns:ds="http://schemas.openxmlformats.org/officeDocument/2006/customXml" ds:itemID="{4421F0DC-F45C-42DB-9258-FE4FB1C8BE70}">
  <ds:schemaRefs/>
</ds:datastoreItem>
</file>

<file path=customXml/itemProps20.xml><?xml version="1.0" encoding="utf-8"?>
<ds:datastoreItem xmlns:ds="http://schemas.openxmlformats.org/officeDocument/2006/customXml" ds:itemID="{B739CB7B-0B18-44EF-B594-2E3BAFA975B8}">
  <ds:schemaRefs/>
</ds:datastoreItem>
</file>

<file path=customXml/itemProps21.xml><?xml version="1.0" encoding="utf-8"?>
<ds:datastoreItem xmlns:ds="http://schemas.openxmlformats.org/officeDocument/2006/customXml" ds:itemID="{B185A317-90E3-42D3-957A-9DDC0307E840}">
  <ds:schemaRefs/>
</ds:datastoreItem>
</file>

<file path=customXml/itemProps22.xml><?xml version="1.0" encoding="utf-8"?>
<ds:datastoreItem xmlns:ds="http://schemas.openxmlformats.org/officeDocument/2006/customXml" ds:itemID="{8659FF42-7972-4119-8466-FBD7A7A85604}">
  <ds:schemaRefs/>
</ds:datastoreItem>
</file>

<file path=customXml/itemProps23.xml><?xml version="1.0" encoding="utf-8"?>
<ds:datastoreItem xmlns:ds="http://schemas.openxmlformats.org/officeDocument/2006/customXml" ds:itemID="{9E1E4626-C9A3-400C-8154-FAF4CFCBF4B2}">
  <ds:schemaRefs/>
</ds:datastoreItem>
</file>

<file path=customXml/itemProps24.xml><?xml version="1.0" encoding="utf-8"?>
<ds:datastoreItem xmlns:ds="http://schemas.openxmlformats.org/officeDocument/2006/customXml" ds:itemID="{F959E674-2EFA-4374-AA09-C7313B9CDA33}">
  <ds:schemaRefs/>
</ds:datastoreItem>
</file>

<file path=customXml/itemProps25.xml><?xml version="1.0" encoding="utf-8"?>
<ds:datastoreItem xmlns:ds="http://schemas.openxmlformats.org/officeDocument/2006/customXml" ds:itemID="{CA6B3A3F-172B-40E3-BEA7-6623260FD16E}">
  <ds:schemaRefs/>
</ds:datastoreItem>
</file>

<file path=customXml/itemProps26.xml><?xml version="1.0" encoding="utf-8"?>
<ds:datastoreItem xmlns:ds="http://schemas.openxmlformats.org/officeDocument/2006/customXml" ds:itemID="{8B1C9169-882B-44D3-AEC2-982D3EFE78F7}">
  <ds:schemaRefs/>
</ds:datastoreItem>
</file>

<file path=customXml/itemProps27.xml><?xml version="1.0" encoding="utf-8"?>
<ds:datastoreItem xmlns:ds="http://schemas.openxmlformats.org/officeDocument/2006/customXml" ds:itemID="{E5772102-C559-4670-85EE-8293775742A8}">
  <ds:schemaRefs/>
</ds:datastoreItem>
</file>

<file path=customXml/itemProps28.xml><?xml version="1.0" encoding="utf-8"?>
<ds:datastoreItem xmlns:ds="http://schemas.openxmlformats.org/officeDocument/2006/customXml" ds:itemID="{E091C957-B176-4FC8-A1AB-CB0A60504919}">
  <ds:schemaRefs/>
</ds:datastoreItem>
</file>

<file path=customXml/itemProps29.xml><?xml version="1.0" encoding="utf-8"?>
<ds:datastoreItem xmlns:ds="http://schemas.openxmlformats.org/officeDocument/2006/customXml" ds:itemID="{6CD973D1-035B-4706-92CB-0EAB6756E5CD}">
  <ds:schemaRefs/>
</ds:datastoreItem>
</file>

<file path=customXml/itemProps30.xml><?xml version="1.0" encoding="utf-8"?>
<ds:datastoreItem xmlns:ds="http://schemas.openxmlformats.org/officeDocument/2006/customXml" ds:itemID="{CB3DBB83-6F3F-44D5-88F1-6C410E7702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Tables</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Aesa</dc:creator>
  <cp:lastModifiedBy>anas aesa</cp:lastModifiedBy>
  <dcterms:created xsi:type="dcterms:W3CDTF">2015-06-05T18:17:20Z</dcterms:created>
  <dcterms:modified xsi:type="dcterms:W3CDTF">2026-02-18T18:49:22Z</dcterms:modified>
</cp:coreProperties>
</file>